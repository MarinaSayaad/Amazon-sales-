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rg\Desktop\Final_Project\"/>
    </mc:Choice>
  </mc:AlternateContent>
  <xr:revisionPtr revIDLastSave="0" documentId="13_ncr:1_{C92A14F1-B125-41BB-9E56-4CBD40B244B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ورقة1" sheetId="1" r:id="rId1"/>
    <sheet name="Dashboard" sheetId="2" r:id="rId2"/>
  </sheets>
  <definedNames>
    <definedName name="Timeline_Order_Date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5" r:id="rId18"/>
      </x15:timelineCachePivotCaches>
    </ext>
    <ext xmlns:x15="http://schemas.microsoft.com/office/spreadsheetml/2010/11/main" uri="{D0CA8CA8-9F24-4464-BF8E-62219DCF47F9}">
      <x15:timelineCacheRefs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s_95095502-c833-4200-bb57-9d7b6425f497" name="Returns" connection="Query - Returns"/>
          <x15:modelTable id="INVOICES_18e0b03e-aec8-44c1-9b4a-f7ae8c710cfc" name="INVOICES" connection="Query - INVOICES"/>
          <x15:modelTable id="Area managers_d73f9efb-8fd1-429b-8d04-f66042626575" name="Area managers" connection="Query - Area managers"/>
        </x15:modelTables>
        <x15:modelRelationships>
          <x15:modelRelationship fromTable="INVOICES" fromColumn="Order ID" toTable="Area managers" toColumn="Column1"/>
          <x15:modelRelationship fromTable="INVOICES" fromColumn="Order ID" toTable="Returns" toColumn="Ord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INVOICES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" i="1" l="1"/>
  <c r="AB7" i="1"/>
  <c r="AC7" i="1"/>
  <c r="AB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904CD-CC87-4265-86A6-436C6DBBFBAD}" name="Query - Area managers" description="Connection to the 'Area managers' query in the workbook." type="100" refreshedVersion="8" minRefreshableVersion="5">
    <extLst>
      <ext xmlns:x15="http://schemas.microsoft.com/office/spreadsheetml/2010/11/main" uri="{DE250136-89BD-433C-8126-D09CA5730AF9}">
        <x15:connection id="77154195-3c92-4c09-b390-2abd968e64bd"/>
      </ext>
    </extLst>
  </connection>
  <connection id="2" xr16:uid="{3F108022-5617-41EB-BCF5-58C29BE1D0E3}" name="Query - INVOICES" description="Connection to the 'INVOICES' query in the workbook." type="100" refreshedVersion="8" minRefreshableVersion="5">
    <extLst>
      <ext xmlns:x15="http://schemas.microsoft.com/office/spreadsheetml/2010/11/main" uri="{DE250136-89BD-433C-8126-D09CA5730AF9}">
        <x15:connection id="b806e66c-60a7-42ed-b616-ee7620cc78f3"/>
      </ext>
    </extLst>
  </connection>
  <connection id="3" xr16:uid="{ADF0553A-2D77-4F13-B2CF-512FCB4364CD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00ad1514-2e49-440a-a470-81bf9c4f9352"/>
      </ext>
    </extLst>
  </connection>
  <connection id="4" xr16:uid="{C885D81E-D233-4DDB-A104-96A646C100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<sst xmlns="http://schemas.openxmlformats.org/spreadsheetml/2006/main" count="145" uniqueCount="94">
  <si>
    <t>Row Labels</t>
  </si>
  <si>
    <t>Boston</t>
  </si>
  <si>
    <t>Chicago</t>
  </si>
  <si>
    <t>Detroit</t>
  </si>
  <si>
    <t>Los Angeles</t>
  </si>
  <si>
    <t>Madison</t>
  </si>
  <si>
    <t>Miami</t>
  </si>
  <si>
    <t>New York City</t>
  </si>
  <si>
    <t>Philadelphia</t>
  </si>
  <si>
    <t>Seattle</t>
  </si>
  <si>
    <t>Washington</t>
  </si>
  <si>
    <t>Grand Total</t>
  </si>
  <si>
    <t>CITY</t>
  </si>
  <si>
    <t>Sum of Sales</t>
  </si>
  <si>
    <t>California</t>
  </si>
  <si>
    <t>District of Columbia</t>
  </si>
  <si>
    <t>Florida</t>
  </si>
  <si>
    <t>Illinois</t>
  </si>
  <si>
    <t>Massachusetts</t>
  </si>
  <si>
    <t>Michigan</t>
  </si>
  <si>
    <t>New York</t>
  </si>
  <si>
    <t>Ohio</t>
  </si>
  <si>
    <t>Texas</t>
  </si>
  <si>
    <t>STATE</t>
  </si>
  <si>
    <t>Central</t>
  </si>
  <si>
    <t>East</t>
  </si>
  <si>
    <t>South</t>
  </si>
  <si>
    <t>West</t>
  </si>
  <si>
    <t>REGION</t>
  </si>
  <si>
    <t>Sum of Discount</t>
  </si>
  <si>
    <t>THE RELATION BETWEEN  DISCONED AND TOTAL SALES</t>
  </si>
  <si>
    <t>Furniture</t>
  </si>
  <si>
    <t>Office Supplies</t>
  </si>
  <si>
    <t>Technology</t>
  </si>
  <si>
    <t>Bookcases</t>
  </si>
  <si>
    <t>Chairs &amp; Chairmats</t>
  </si>
  <si>
    <t>Office Furnishings</t>
  </si>
  <si>
    <t>Tables</t>
  </si>
  <si>
    <t>Appliances</t>
  </si>
  <si>
    <t>Binders and Binder Accessories</t>
  </si>
  <si>
    <t>Envelopes</t>
  </si>
  <si>
    <t>Labels</t>
  </si>
  <si>
    <t>Paper</t>
  </si>
  <si>
    <t>Pens &amp; Art Supplies</t>
  </si>
  <si>
    <t>Rubber Bands</t>
  </si>
  <si>
    <t>Scissors, Rulers and Trimmers</t>
  </si>
  <si>
    <t>Storage &amp; Organization</t>
  </si>
  <si>
    <t>Computer Peripherals</t>
  </si>
  <si>
    <t>Copiers and Fax</t>
  </si>
  <si>
    <t>Office Machines</t>
  </si>
  <si>
    <t>Telephones and Communication</t>
  </si>
  <si>
    <t>Consumer</t>
  </si>
  <si>
    <t>Corporate</t>
  </si>
  <si>
    <t>Home Office</t>
  </si>
  <si>
    <t>Small Business</t>
  </si>
  <si>
    <t>Jan</t>
  </si>
  <si>
    <t>Feb</t>
  </si>
  <si>
    <t>Mar</t>
  </si>
  <si>
    <t>Apr</t>
  </si>
  <si>
    <t>May</t>
  </si>
  <si>
    <t>Jun</t>
  </si>
  <si>
    <t>Atlantic Metals Mobile 5-Shelf Bookcases, Custom Colors</t>
  </si>
  <si>
    <t>Economy Rollaway Files</t>
  </si>
  <si>
    <t>Fellowes PB500 Electric Punch Plastic Comb Binding Machine with Manual Bind</t>
  </si>
  <si>
    <t>Global Troy™ Executive Leather Low-Back Tilter</t>
  </si>
  <si>
    <t>Hon 4700 Series Mobuis™ Mid-Back Task Chairs with Adjustable Arms</t>
  </si>
  <si>
    <t>Lexmark 4227 Plus Dot Matrix Printer</t>
  </si>
  <si>
    <t>Okidata ML395C Color Dot Matrix Printer</t>
  </si>
  <si>
    <t>Polycom ViewStation™ ISDN Videoconferencing Unit</t>
  </si>
  <si>
    <t>SAFCO PlanMaster Heigh-Adjustable Drafting Table Base, 43w x 30d x 30-37h, Black</t>
  </si>
  <si>
    <t>Smead Adjustable Mobile File Trolley with Lockable Top</t>
  </si>
  <si>
    <t>Count of Status</t>
  </si>
  <si>
    <t>DATE</t>
  </si>
  <si>
    <t>CUSOMER SEGMENT</t>
  </si>
  <si>
    <t>Caroline Johnston</t>
  </si>
  <si>
    <t>Lee Xu</t>
  </si>
  <si>
    <t>Neal Wolfe</t>
  </si>
  <si>
    <t>Rosemary O'Brien</t>
  </si>
  <si>
    <t>Toni Swanson</t>
  </si>
  <si>
    <t>Annie Odom</t>
  </si>
  <si>
    <t>Eileen Schwartz</t>
  </si>
  <si>
    <t>Kristine Connolly</t>
  </si>
  <si>
    <t>Scott Bunn</t>
  </si>
  <si>
    <t>Tammy Raynor</t>
  </si>
  <si>
    <t>Don Rogers</t>
  </si>
  <si>
    <t>Erin Ballard</t>
  </si>
  <si>
    <t>Sean N Boyer</t>
  </si>
  <si>
    <t>Tom Hoyle Honeycutt</t>
  </si>
  <si>
    <t>Yvonne Mann</t>
  </si>
  <si>
    <t>Andrew Levine</t>
  </si>
  <si>
    <t>Christopher Meadows</t>
  </si>
  <si>
    <t>Leroy Blanchard</t>
  </si>
  <si>
    <t>Nina Horne Kelly</t>
  </si>
  <si>
    <t>Richard McClure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</si>
</sst>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0" xfId="0"/>
  </cellXfs>
  <cellStyles count="1">
    <cellStyle name="Normal" xfId="0" builtinId="0"/>
  </cellStyles>
  <dxfs count="4">
    <dxf>
      <font>
        <b/>
        <sz val="11"/>
        <color theme="1"/>
      </font>
    </dxf>
    <dxf>
      <fill>
        <patternFill patternType="solid">
          <fgColor theme="0"/>
          <bgColor theme="4" tint="0.3999450666829432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Timeline Style 1" pivot="0" table="0" count="8" xr9:uid="{E49F3007-827A-4824-B2AA-5745CA447A18}">
      <tableStyleElement type="wholeTable" dxfId="3"/>
      <tableStyleElement type="headerRow" dxfId="2"/>
    </tableStyle>
    <tableStyle name="Timeline Style 2" pivot="0" table="0" count="8" xr9:uid="{A503A18A-B8E2-42BD-8C8E-98EFCF9AB50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1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0"/>
            <x15:timelineStyleElement type="timeLevel" dxfId="9"/>
            <x15:timelineStyleElement type="periodLabel1" dxfId="8"/>
            <x15:timelineStyleElement type="periodLabel2" dxfId="7"/>
            <x15:timelineStyleElement type="selectedTimeBlock" dxfId="6"/>
            <x15:timelineStyleElement type="unselectedTimeBlock" dxfId="5"/>
          </x15:timelineStyleElements>
        </x15:timelineStyle>
        <x15:timelineStyle name="Timeline Style 2">
          <x15:timelineStyleElements>
            <x15:timelineStyleElement type="selectionLabel" dxfId="4"/>
            <x15:timelineStyleElement type="timeLevel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8.xml"/><Relationship Id="rId19" Type="http://schemas.microsoft.com/office/2011/relationships/timelineCache" Target="timelineCaches/timelineCache1.xml"/><Relationship Id="rId31" Type="http://schemas.openxmlformats.org/officeDocument/2006/relationships/customXml" Target="../customXml/item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4.82160077145612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CE2-47D0-9B8E-49489966BD36}"/>
              </c:ext>
            </c:extLst>
          </c:dPt>
          <c:dLbls>
            <c:dLbl>
              <c:idx val="5"/>
              <c:layout>
                <c:manualLayout>
                  <c:x val="0"/>
                  <c:y val="4.82160077145612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E2-47D0-9B8E-49489966BD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ورقة1!$B$5:$B$15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Detroit</c:v>
                </c:pt>
                <c:pt idx="3">
                  <c:v>Los Angeles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Philadelphia</c:v>
                </c:pt>
                <c:pt idx="8">
                  <c:v>Seattle</c:v>
                </c:pt>
                <c:pt idx="9">
                  <c:v>Washington</c:v>
                </c:pt>
              </c:strCache>
            </c:strRef>
          </c:cat>
          <c:val>
            <c:numRef>
              <c:f>ورقة1!$C$5:$C$15</c:f>
              <c:numCache>
                <c:formatCode>General</c:formatCode>
                <c:ptCount val="10"/>
                <c:pt idx="0">
                  <c:v>60395.39</c:v>
                </c:pt>
                <c:pt idx="1">
                  <c:v>22958</c:v>
                </c:pt>
                <c:pt idx="2">
                  <c:v>29451.26</c:v>
                </c:pt>
                <c:pt idx="3">
                  <c:v>154806.10999999999</c:v>
                </c:pt>
                <c:pt idx="4">
                  <c:v>20974.45</c:v>
                </c:pt>
                <c:pt idx="5">
                  <c:v>19266.400000000001</c:v>
                </c:pt>
                <c:pt idx="6">
                  <c:v>144717.48000000001</c:v>
                </c:pt>
                <c:pt idx="7">
                  <c:v>28442.95</c:v>
                </c:pt>
                <c:pt idx="8">
                  <c:v>38437.769999999997</c:v>
                </c:pt>
                <c:pt idx="9">
                  <c:v>68946.66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6-4742-A1F8-695297FA8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3827695"/>
        <c:axId val="1553828655"/>
      </c:barChart>
      <c:catAx>
        <c:axId val="1553827695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828655"/>
        <c:crosses val="autoZero"/>
        <c:auto val="1"/>
        <c:lblAlgn val="ctr"/>
        <c:lblOffset val="100"/>
        <c:noMultiLvlLbl val="0"/>
      </c:catAx>
      <c:valAx>
        <c:axId val="1553828655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55382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Worksheet.xlsx]ورقة1!STATE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10 STATE</a:t>
            </a:r>
          </a:p>
        </c:rich>
      </c:tx>
      <c:layout>
        <c:manualLayout>
          <c:xMode val="edge"/>
          <c:yMode val="edge"/>
          <c:x val="0.30946320066156119"/>
          <c:y val="8.37520938023450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577413479052828E-2"/>
          <c:y val="0.10471831441969609"/>
          <c:w val="0.78805917702910089"/>
          <c:h val="0.851260718680121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ورقة1!$F$4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ورقة1!$E$5:$E$15</c:f>
              <c:strCache>
                <c:ptCount val="10"/>
                <c:pt idx="0">
                  <c:v>California</c:v>
                </c:pt>
                <c:pt idx="1">
                  <c:v>District of Columbia</c:v>
                </c:pt>
                <c:pt idx="2">
                  <c:v>Florida</c:v>
                </c:pt>
                <c:pt idx="3">
                  <c:v>Illinois</c:v>
                </c:pt>
                <c:pt idx="4">
                  <c:v>Massachusetts</c:v>
                </c:pt>
                <c:pt idx="5">
                  <c:v>Michigan</c:v>
                </c:pt>
                <c:pt idx="6">
                  <c:v>New York</c:v>
                </c:pt>
                <c:pt idx="7">
                  <c:v>Ohio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ورقة1!$F$5:$F$15</c:f>
              <c:numCache>
                <c:formatCode>General</c:formatCode>
                <c:ptCount val="10"/>
                <c:pt idx="0">
                  <c:v>288240.87</c:v>
                </c:pt>
                <c:pt idx="1">
                  <c:v>68946.66</c:v>
                </c:pt>
                <c:pt idx="2">
                  <c:v>87651.11</c:v>
                </c:pt>
                <c:pt idx="3">
                  <c:v>98971.25</c:v>
                </c:pt>
                <c:pt idx="4">
                  <c:v>69855.39</c:v>
                </c:pt>
                <c:pt idx="5">
                  <c:v>69641.81</c:v>
                </c:pt>
                <c:pt idx="6">
                  <c:v>223532.15</c:v>
                </c:pt>
                <c:pt idx="7">
                  <c:v>69452.820000000007</c:v>
                </c:pt>
                <c:pt idx="8">
                  <c:v>93082.73</c:v>
                </c:pt>
                <c:pt idx="9">
                  <c:v>83468.06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1-4C94-87FD-2EFA360B0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277840"/>
        <c:axId val="182268720"/>
      </c:barChart>
      <c:catAx>
        <c:axId val="1822778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8720"/>
        <c:crosses val="autoZero"/>
        <c:auto val="1"/>
        <c:lblAlgn val="ctr"/>
        <c:lblOffset val="100"/>
        <c:noMultiLvlLbl val="0"/>
      </c:catAx>
      <c:valAx>
        <c:axId val="18226872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layout>
        <c:manualLayout>
          <c:xMode val="edge"/>
          <c:yMode val="edge"/>
          <c:x val="0.4675000000000000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405511811023613E-2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19444444444446"/>
                  <c:h val="9.8171478565179354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722878390201229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397222222222222"/>
                  <c:h val="9.3541848935549732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953193350831146E-2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16666666666666E-2"/>
                  <c:h val="0.1028011081948089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ورقة1!$I$4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6A8-4F24-A3E9-C93F50B1D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A8-4F24-A3E9-C93F50B1D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6A8-4F24-A3E9-C93F50B1D0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A8-4F24-A3E9-C93F50B1D046}"/>
              </c:ext>
            </c:extLst>
          </c:dPt>
          <c:dLbls>
            <c:dLbl>
              <c:idx val="0"/>
              <c:layout>
                <c:manualLayout>
                  <c:x val="-3.1405511811023613E-2"/>
                  <c:y val="0.1367147856517934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19444444444446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6A8-4F24-A3E9-C93F50B1D046}"/>
                </c:ext>
              </c:extLst>
            </c:dLbl>
            <c:dLbl>
              <c:idx val="1"/>
              <c:layout>
                <c:manualLayout>
                  <c:x val="-6.3722878390201229E-2"/>
                  <c:y val="-8.7848133566637593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97222222222222"/>
                      <c:h val="9.35418489355497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6A8-4F24-A3E9-C93F50B1D046}"/>
                </c:ext>
              </c:extLst>
            </c:dLbl>
            <c:dLbl>
              <c:idx val="2"/>
              <c:layout>
                <c:manualLayout>
                  <c:x val="6.1116902424973293E-2"/>
                  <c:y val="-0.171691090696996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41337615353364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6A8-4F24-A3E9-C93F50B1D046}"/>
                </c:ext>
              </c:extLst>
            </c:dLbl>
            <c:dLbl>
              <c:idx val="3"/>
              <c:layout>
                <c:manualLayout>
                  <c:x val="4.6953193350831146E-2"/>
                  <c:y val="0.1342392096821230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416666666666666E-2"/>
                      <c:h val="0.1028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6A8-4F24-A3E9-C93F50B1D04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ورقة1!$H$5:$H$9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ورقة1!$I$5:$I$9</c:f>
              <c:numCache>
                <c:formatCode>General</c:formatCode>
                <c:ptCount val="4"/>
                <c:pt idx="0">
                  <c:v>526884.81999999995</c:v>
                </c:pt>
                <c:pt idx="1">
                  <c:v>357105.12</c:v>
                </c:pt>
                <c:pt idx="2">
                  <c:v>605364.46</c:v>
                </c:pt>
                <c:pt idx="3">
                  <c:v>448284.7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8-4F24-A3E9-C93F50B1D0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Worksheet.xlsx]ورقة1!CATEGORY AND SUB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AND SUB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ورقة1!$M$5:$M$25</c:f>
              <c:multiLvlStrCache>
                <c:ptCount val="1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ورقة1!$N$5:$N$25</c:f>
              <c:numCache>
                <c:formatCode>General</c:formatCode>
                <c:ptCount val="17"/>
                <c:pt idx="0">
                  <c:v>119697.3</c:v>
                </c:pt>
                <c:pt idx="1">
                  <c:v>261072.73</c:v>
                </c:pt>
                <c:pt idx="2">
                  <c:v>98070.91</c:v>
                </c:pt>
                <c:pt idx="3">
                  <c:v>193764.58</c:v>
                </c:pt>
                <c:pt idx="4">
                  <c:v>82201.149999999994</c:v>
                </c:pt>
                <c:pt idx="5">
                  <c:v>185986.58</c:v>
                </c:pt>
                <c:pt idx="6">
                  <c:v>10479.77</c:v>
                </c:pt>
                <c:pt idx="7">
                  <c:v>4973.1499999999996</c:v>
                </c:pt>
                <c:pt idx="8">
                  <c:v>55834.34</c:v>
                </c:pt>
                <c:pt idx="9">
                  <c:v>26101.11</c:v>
                </c:pt>
                <c:pt idx="10">
                  <c:v>1789.43</c:v>
                </c:pt>
                <c:pt idx="11">
                  <c:v>6752.18</c:v>
                </c:pt>
                <c:pt idx="12">
                  <c:v>177417.60000000001</c:v>
                </c:pt>
                <c:pt idx="13">
                  <c:v>97494.62</c:v>
                </c:pt>
                <c:pt idx="14">
                  <c:v>99069.48</c:v>
                </c:pt>
                <c:pt idx="15">
                  <c:v>318169.68</c:v>
                </c:pt>
                <c:pt idx="16">
                  <c:v>198764.49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F-4470-B129-30C36C382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47600"/>
        <c:axId val="182254320"/>
      </c:barChart>
      <c:catAx>
        <c:axId val="1822476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4320"/>
        <c:crosses val="autoZero"/>
        <c:auto val="1"/>
        <c:lblAlgn val="ctr"/>
        <c:lblOffset val="100"/>
        <c:noMultiLvlLbl val="0"/>
      </c:catAx>
      <c:valAx>
        <c:axId val="1822543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Worksheet.xlsx]ورقة1!CUSTOMER 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3919979711125067"/>
          <c:y val="0.28408537474482359"/>
          <c:w val="0.52773537510265212"/>
          <c:h val="0.47789370078740168"/>
        </c:manualLayout>
      </c:layout>
      <c:doughnutChart>
        <c:varyColors val="1"/>
        <c:ser>
          <c:idx val="0"/>
          <c:order val="0"/>
          <c:tx>
            <c:strRef>
              <c:f>ورقة1!$Q$4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5-4AFC-81AE-6B51DB18D4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5-4AFC-81AE-6B51DB18D4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B5-4AFC-81AE-6B51DB18D4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B5-4AFC-81AE-6B51DB18D45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ورقة1!$P$5:$P$9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ورقة1!$Q$5:$Q$9</c:f>
              <c:numCache>
                <c:formatCode>General</c:formatCode>
                <c:ptCount val="4"/>
                <c:pt idx="0">
                  <c:v>414971.34</c:v>
                </c:pt>
                <c:pt idx="1">
                  <c:v>657784.53</c:v>
                </c:pt>
                <c:pt idx="2">
                  <c:v>464589.29</c:v>
                </c:pt>
                <c:pt idx="3">
                  <c:v>400293.94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8-43E9-A187-C204729DC42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848670756646216"/>
          <c:y val="0.79502187226596677"/>
          <c:w val="0.72699386503067476"/>
          <c:h val="0.1319466316710411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Worksheet.xlsx]ورقة1!DATE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ورقة1!$T$4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ورقة1!$S$5:$S$11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ورقة1!$T$5:$T$11</c:f>
              <c:numCache>
                <c:formatCode>General</c:formatCode>
                <c:ptCount val="6"/>
                <c:pt idx="0">
                  <c:v>274796.42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401811.91</c:v>
                </c:pt>
                <c:pt idx="4">
                  <c:v>306572.07</c:v>
                </c:pt>
                <c:pt idx="5">
                  <c:v>356660.56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1-471B-B905-F5A2FBA8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75920"/>
        <c:axId val="182250000"/>
      </c:lineChart>
      <c:catAx>
        <c:axId val="182275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0000"/>
        <c:crosses val="autoZero"/>
        <c:auto val="1"/>
        <c:lblAlgn val="ctr"/>
        <c:lblOffset val="100"/>
        <c:noMultiLvlLbl val="0"/>
      </c:catAx>
      <c:valAx>
        <c:axId val="1822500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ورقة1!$W$4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ورقة1!$V$5:$V$15</c:f>
              <c:strCache>
                <c:ptCount val="10"/>
                <c:pt idx="0">
                  <c:v>Atlantic Metals Mobile 5-Shelf Bookcases, Custom Colors</c:v>
                </c:pt>
                <c:pt idx="1">
                  <c:v>Economy Rollaway Files</c:v>
                </c:pt>
                <c:pt idx="2">
                  <c:v>Fellowes PB500 Electric Punch Plastic Comb Binding Machine with Manual Bind</c:v>
                </c:pt>
                <c:pt idx="3">
                  <c:v>Global Troy™ Executive Leather Low-Back Tilter</c:v>
                </c:pt>
                <c:pt idx="4">
                  <c:v>Hon 4700 Series Mobuis™ Mid-Back Task Chairs with Adjustable Arms</c:v>
                </c:pt>
                <c:pt idx="5">
                  <c:v>Lexmark 4227 Plus Dot Matrix Printer</c:v>
                </c:pt>
                <c:pt idx="6">
                  <c:v>Okidata ML395C Color Dot Matrix Printer</c:v>
                </c:pt>
                <c:pt idx="7">
                  <c:v>Polycom ViewStation™ ISDN Videoconferencing Unit</c:v>
                </c:pt>
                <c:pt idx="8">
                  <c:v>SAFCO PlanMaster Heigh-Adjustable Drafting Table Base, 43w x 30d x 30-37h, Black</c:v>
                </c:pt>
                <c:pt idx="9">
                  <c:v>Smead Adjustable Mobile File Trolley with Lockable Top</c:v>
                </c:pt>
              </c:strCache>
            </c:strRef>
          </c:cat>
          <c:val>
            <c:numRef>
              <c:f>ورقة1!$W$5:$W$15</c:f>
              <c:numCache>
                <c:formatCode>General</c:formatCode>
                <c:ptCount val="10"/>
                <c:pt idx="0">
                  <c:v>27330.240000000002</c:v>
                </c:pt>
                <c:pt idx="1">
                  <c:v>35607.279999999999</c:v>
                </c:pt>
                <c:pt idx="2">
                  <c:v>69013.48</c:v>
                </c:pt>
                <c:pt idx="3">
                  <c:v>50871.21</c:v>
                </c:pt>
                <c:pt idx="4">
                  <c:v>22554.43</c:v>
                </c:pt>
                <c:pt idx="5">
                  <c:v>61071.73</c:v>
                </c:pt>
                <c:pt idx="6">
                  <c:v>47611.09</c:v>
                </c:pt>
                <c:pt idx="7">
                  <c:v>46538.69</c:v>
                </c:pt>
                <c:pt idx="8">
                  <c:v>21253.25</c:v>
                </c:pt>
                <c:pt idx="9">
                  <c:v>23995.11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A-4EFC-A145-5FAC3E353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279760"/>
        <c:axId val="182291760"/>
      </c:barChart>
      <c:catAx>
        <c:axId val="182279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1760"/>
        <c:crosses val="autoZero"/>
        <c:auto val="1"/>
        <c:lblAlgn val="ctr"/>
        <c:lblOffset val="100"/>
        <c:noMultiLvlLbl val="0"/>
      </c:catAx>
      <c:valAx>
        <c:axId val="1822917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IN EACH CUSTOMER SEGMENTS</a:t>
            </a:r>
          </a:p>
        </c:rich>
      </c:tx>
      <c:layout>
        <c:manualLayout>
          <c:xMode val="edge"/>
          <c:yMode val="edge"/>
          <c:x val="0.1332227292611150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ورقة1!$Y$5:$Y$29</c:f>
              <c:multiLvlStrCache>
                <c:ptCount val="20"/>
                <c:lvl>
                  <c:pt idx="0">
                    <c:v>Andrew Levine</c:v>
                  </c:pt>
                  <c:pt idx="1">
                    <c:v>Christopher Meadows</c:v>
                  </c:pt>
                  <c:pt idx="2">
                    <c:v>Leroy Blanchard</c:v>
                  </c:pt>
                  <c:pt idx="3">
                    <c:v>Nina Horne Kelly</c:v>
                  </c:pt>
                  <c:pt idx="4">
                    <c:v>Richard McClure</c:v>
                  </c:pt>
                  <c:pt idx="5">
                    <c:v>Don Rogers</c:v>
                  </c:pt>
                  <c:pt idx="6">
                    <c:v>Erin Ballard</c:v>
                  </c:pt>
                  <c:pt idx="7">
                    <c:v>Sean N Boyer</c:v>
                  </c:pt>
                  <c:pt idx="8">
                    <c:v>Tom Hoyle Honeycutt</c:v>
                  </c:pt>
                  <c:pt idx="9">
                    <c:v>Yvonne Mann</c:v>
                  </c:pt>
                  <c:pt idx="10">
                    <c:v>Annie Odom</c:v>
                  </c:pt>
                  <c:pt idx="11">
                    <c:v>Eileen Schwartz</c:v>
                  </c:pt>
                  <c:pt idx="12">
                    <c:v>Kristine Connolly</c:v>
                  </c:pt>
                  <c:pt idx="13">
                    <c:v>Scott Bunn</c:v>
                  </c:pt>
                  <c:pt idx="14">
                    <c:v>Tammy Raynor</c:v>
                  </c:pt>
                  <c:pt idx="15">
                    <c:v>Caroline Johnston</c:v>
                  </c:pt>
                  <c:pt idx="16">
                    <c:v>Lee Xu</c:v>
                  </c:pt>
                  <c:pt idx="17">
                    <c:v>Neal Wolfe</c:v>
                  </c:pt>
                  <c:pt idx="18">
                    <c:v>Rosemary O'Brien</c:v>
                  </c:pt>
                  <c:pt idx="19">
                    <c:v>Toni Swanson</c:v>
                  </c:pt>
                </c:lvl>
                <c:lvl>
                  <c:pt idx="0">
                    <c:v>Small Business</c:v>
                  </c:pt>
                  <c:pt idx="5">
                    <c:v>Home Office</c:v>
                  </c:pt>
                  <c:pt idx="10">
                    <c:v>Corporate</c:v>
                  </c:pt>
                  <c:pt idx="15">
                    <c:v>Consumer</c:v>
                  </c:pt>
                </c:lvl>
              </c:multiLvlStrCache>
            </c:multiLvlStrRef>
          </c:cat>
          <c:val>
            <c:numRef>
              <c:f>ورقة1!$Z$5:$Z$29</c:f>
              <c:numCache>
                <c:formatCode>General</c:formatCode>
                <c:ptCount val="20"/>
                <c:pt idx="0">
                  <c:v>16792.21</c:v>
                </c:pt>
                <c:pt idx="1">
                  <c:v>15224.63</c:v>
                </c:pt>
                <c:pt idx="2">
                  <c:v>12599.55</c:v>
                </c:pt>
                <c:pt idx="3">
                  <c:v>48295.12</c:v>
                </c:pt>
                <c:pt idx="4">
                  <c:v>15269.7</c:v>
                </c:pt>
                <c:pt idx="5">
                  <c:v>13831.16</c:v>
                </c:pt>
                <c:pt idx="6">
                  <c:v>20565.990000000002</c:v>
                </c:pt>
                <c:pt idx="7">
                  <c:v>13096.32</c:v>
                </c:pt>
                <c:pt idx="8">
                  <c:v>12584.99</c:v>
                </c:pt>
                <c:pt idx="9">
                  <c:v>28779.13</c:v>
                </c:pt>
                <c:pt idx="10">
                  <c:v>13424.37</c:v>
                </c:pt>
                <c:pt idx="11">
                  <c:v>12602.91</c:v>
                </c:pt>
                <c:pt idx="12">
                  <c:v>50207.78</c:v>
                </c:pt>
                <c:pt idx="13">
                  <c:v>15943.48</c:v>
                </c:pt>
                <c:pt idx="14">
                  <c:v>18642.71</c:v>
                </c:pt>
                <c:pt idx="15">
                  <c:v>21481.14</c:v>
                </c:pt>
                <c:pt idx="16">
                  <c:v>20640.349999999999</c:v>
                </c:pt>
                <c:pt idx="17">
                  <c:v>17390.240000000002</c:v>
                </c:pt>
                <c:pt idx="18">
                  <c:v>29916.01</c:v>
                </c:pt>
                <c:pt idx="19">
                  <c:v>32194.12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B-4913-98C6-D2000505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93680"/>
        <c:axId val="182307120"/>
      </c:barChart>
      <c:catAx>
        <c:axId val="1822936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7120"/>
        <c:crosses val="autoZero"/>
        <c:auto val="1"/>
        <c:lblAlgn val="ctr"/>
        <c:lblOffset val="100"/>
        <c:noMultiLvlLbl val="0"/>
      </c:catAx>
      <c:valAx>
        <c:axId val="1823071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LOWEST 10 CITYS</a:t>
            </a:r>
          </a:p>
        </c:rich>
      </c:tx>
      <c:layout>
        <c:manualLayout>
          <c:xMode val="edge"/>
          <c:yMode val="edge"/>
          <c:x val="0.27147603450395147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ورقة1!$C$23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ورقة1!$B$24:$B$34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Detroit</c:v>
                </c:pt>
                <c:pt idx="3">
                  <c:v>Los Angeles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Philadelphia</c:v>
                </c:pt>
                <c:pt idx="8">
                  <c:v>Seattle</c:v>
                </c:pt>
                <c:pt idx="9">
                  <c:v>Washington</c:v>
                </c:pt>
              </c:strCache>
            </c:strRef>
          </c:cat>
          <c:val>
            <c:numRef>
              <c:f>ورقة1!$C$24:$C$34</c:f>
              <c:numCache>
                <c:formatCode>General</c:formatCode>
                <c:ptCount val="10"/>
                <c:pt idx="0">
                  <c:v>60395.39</c:v>
                </c:pt>
                <c:pt idx="1">
                  <c:v>22958</c:v>
                </c:pt>
                <c:pt idx="2">
                  <c:v>29451.26</c:v>
                </c:pt>
                <c:pt idx="3">
                  <c:v>154806.10999999999</c:v>
                </c:pt>
                <c:pt idx="4">
                  <c:v>20974.45</c:v>
                </c:pt>
                <c:pt idx="5">
                  <c:v>19266.400000000001</c:v>
                </c:pt>
                <c:pt idx="6">
                  <c:v>144717.48000000001</c:v>
                </c:pt>
                <c:pt idx="7">
                  <c:v>28442.95</c:v>
                </c:pt>
                <c:pt idx="8">
                  <c:v>38437.769999999997</c:v>
                </c:pt>
                <c:pt idx="9">
                  <c:v>68946.66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E-49B7-93F9-35629F186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650735"/>
        <c:axId val="813647855"/>
      </c:barChart>
      <c:catAx>
        <c:axId val="8136507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47855"/>
        <c:crosses val="autoZero"/>
        <c:auto val="1"/>
        <c:lblAlgn val="ctr"/>
        <c:lblOffset val="100"/>
        <c:noMultiLvlLbl val="0"/>
      </c:catAx>
      <c:valAx>
        <c:axId val="81364785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5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LOWEST</a:t>
            </a:r>
            <a:r>
              <a:rPr lang="en-US" b="1" baseline="0">
                <a:solidFill>
                  <a:schemeClr val="tx1"/>
                </a:solidFill>
              </a:rPr>
              <a:t> 10 STATE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ورقة1!$F$37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ورقة1!$E$38:$E$48</c:f>
              <c:strCache>
                <c:ptCount val="10"/>
                <c:pt idx="0">
                  <c:v>California</c:v>
                </c:pt>
                <c:pt idx="1">
                  <c:v>District of Columbia</c:v>
                </c:pt>
                <c:pt idx="2">
                  <c:v>Florida</c:v>
                </c:pt>
                <c:pt idx="3">
                  <c:v>Illinois</c:v>
                </c:pt>
                <c:pt idx="4">
                  <c:v>Massachusetts</c:v>
                </c:pt>
                <c:pt idx="5">
                  <c:v>Michigan</c:v>
                </c:pt>
                <c:pt idx="6">
                  <c:v>New York</c:v>
                </c:pt>
                <c:pt idx="7">
                  <c:v>Ohio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ورقة1!$F$38:$F$48</c:f>
              <c:numCache>
                <c:formatCode>General</c:formatCode>
                <c:ptCount val="10"/>
                <c:pt idx="0">
                  <c:v>288240.87</c:v>
                </c:pt>
                <c:pt idx="1">
                  <c:v>68946.66</c:v>
                </c:pt>
                <c:pt idx="2">
                  <c:v>87651.11</c:v>
                </c:pt>
                <c:pt idx="3">
                  <c:v>98971.25</c:v>
                </c:pt>
                <c:pt idx="4">
                  <c:v>69855.39</c:v>
                </c:pt>
                <c:pt idx="5">
                  <c:v>69641.81</c:v>
                </c:pt>
                <c:pt idx="6">
                  <c:v>223532.15</c:v>
                </c:pt>
                <c:pt idx="7">
                  <c:v>69452.820000000007</c:v>
                </c:pt>
                <c:pt idx="8">
                  <c:v>93082.73</c:v>
                </c:pt>
                <c:pt idx="9">
                  <c:v>83468.06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E-4A47-B995-9ADFDA9ED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550415"/>
        <c:axId val="813522095"/>
      </c:barChart>
      <c:catAx>
        <c:axId val="8135504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22095"/>
        <c:crosses val="autoZero"/>
        <c:auto val="1"/>
        <c:lblAlgn val="ctr"/>
        <c:lblOffset val="100"/>
        <c:noMultiLvlLbl val="0"/>
      </c:catAx>
      <c:valAx>
        <c:axId val="813522095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35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Worksheet.xlsx]ورقة1!DATE 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rgbClr val="FFC0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7.9828748042008763E-2"/>
              <c:y val="-7.81250000000000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5.3942439438060895E-2"/>
              <c:y val="-8.46351603510498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77214063195377E-2"/>
                  <c:h val="0.15615260006561676"/>
                </c:manualLayout>
              </c15:layout>
            </c:ext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7.537836975985486E-2"/>
              <c:y val="-7.81250000000000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7.5378369759854791E-2"/>
              <c:y val="-8.4635416666666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7.5378369759854791E-2"/>
              <c:y val="-7.81250000000000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</c:marker>
        <c:dLbl>
          <c:idx val="0"/>
          <c:layout>
            <c:manualLayout>
              <c:x val="-7.5378369759854791E-2"/>
              <c:y val="-0.11718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ورقة1!$T$4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FC000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3EA-48DC-8B1B-BCFAF52F4CFA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3EA-48DC-8B1B-BCFAF52F4CFA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3EA-48DC-8B1B-BCFAF52F4CFA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3EA-48DC-8B1B-BCFAF52F4CFA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3EA-48DC-8B1B-BCFAF52F4CFA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3EA-48DC-8B1B-BCFAF52F4CFA}"/>
              </c:ext>
            </c:extLst>
          </c:dPt>
          <c:dLbls>
            <c:dLbl>
              <c:idx val="0"/>
              <c:layout>
                <c:manualLayout>
                  <c:x val="-5.3942439438060895E-2"/>
                  <c:y val="-8.46351603510498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bg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77214063195377E-2"/>
                      <c:h val="0.156152600065616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3EA-48DC-8B1B-BCFAF52F4CFA}"/>
                </c:ext>
              </c:extLst>
            </c:dLbl>
            <c:dLbl>
              <c:idx val="1"/>
              <c:layout>
                <c:manualLayout>
                  <c:x val="-7.9828748042008763E-2"/>
                  <c:y val="-7.812500000000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EA-48DC-8B1B-BCFAF52F4CFA}"/>
                </c:ext>
              </c:extLst>
            </c:dLbl>
            <c:dLbl>
              <c:idx val="2"/>
              <c:layout>
                <c:manualLayout>
                  <c:x val="-7.537836975985486E-2"/>
                  <c:y val="-7.812500000000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EA-48DC-8B1B-BCFAF52F4CFA}"/>
                </c:ext>
              </c:extLst>
            </c:dLbl>
            <c:dLbl>
              <c:idx val="3"/>
              <c:layout>
                <c:manualLayout>
                  <c:x val="-7.5378369759854791E-2"/>
                  <c:y val="-8.4635416666666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EA-48DC-8B1B-BCFAF52F4CFA}"/>
                </c:ext>
              </c:extLst>
            </c:dLbl>
            <c:dLbl>
              <c:idx val="4"/>
              <c:layout>
                <c:manualLayout>
                  <c:x val="-7.5378369759854791E-2"/>
                  <c:y val="-7.812500000000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EA-48DC-8B1B-BCFAF52F4CFA}"/>
                </c:ext>
              </c:extLst>
            </c:dLbl>
            <c:dLbl>
              <c:idx val="5"/>
              <c:layout>
                <c:manualLayout>
                  <c:x val="-7.5378369759854791E-2"/>
                  <c:y val="-0.11718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EA-48DC-8B1B-BCFAF52F4C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ورقة1!$S$5:$S$11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ورقة1!$T$5:$T$11</c:f>
              <c:numCache>
                <c:formatCode>General</c:formatCode>
                <c:ptCount val="6"/>
                <c:pt idx="0">
                  <c:v>274796.42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401811.91</c:v>
                </c:pt>
                <c:pt idx="4">
                  <c:v>306572.07</c:v>
                </c:pt>
                <c:pt idx="5">
                  <c:v>356660.56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4-4D31-9304-7BEA4D970F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275920"/>
        <c:axId val="182250000"/>
      </c:lineChart>
      <c:catAx>
        <c:axId val="182275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0000"/>
        <c:crosses val="autoZero"/>
        <c:auto val="1"/>
        <c:lblAlgn val="ctr"/>
        <c:lblOffset val="100"/>
        <c:noMultiLvlLbl val="0"/>
      </c:catAx>
      <c:valAx>
        <c:axId val="182250000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227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Worksheet.xlsx]ورقة1!CATEGORY AND SUB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CATEGORY AND SUB CATEGORY</a:t>
            </a:r>
          </a:p>
        </c:rich>
      </c:tx>
      <c:layout>
        <c:manualLayout>
          <c:xMode val="edge"/>
          <c:yMode val="edge"/>
          <c:x val="0.15464515647799798"/>
          <c:y val="6.67900783925187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ورقة1!$M$5:$M$25</c:f>
              <c:multiLvlStrCache>
                <c:ptCount val="1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ورقة1!$N$5:$N$25</c:f>
              <c:numCache>
                <c:formatCode>General</c:formatCode>
                <c:ptCount val="17"/>
                <c:pt idx="0">
                  <c:v>119697.3</c:v>
                </c:pt>
                <c:pt idx="1">
                  <c:v>261072.73</c:v>
                </c:pt>
                <c:pt idx="2">
                  <c:v>98070.91</c:v>
                </c:pt>
                <c:pt idx="3">
                  <c:v>193764.58</c:v>
                </c:pt>
                <c:pt idx="4">
                  <c:v>82201.149999999994</c:v>
                </c:pt>
                <c:pt idx="5">
                  <c:v>185986.58</c:v>
                </c:pt>
                <c:pt idx="6">
                  <c:v>10479.77</c:v>
                </c:pt>
                <c:pt idx="7">
                  <c:v>4973.1499999999996</c:v>
                </c:pt>
                <c:pt idx="8">
                  <c:v>55834.34</c:v>
                </c:pt>
                <c:pt idx="9">
                  <c:v>26101.11</c:v>
                </c:pt>
                <c:pt idx="10">
                  <c:v>1789.43</c:v>
                </c:pt>
                <c:pt idx="11">
                  <c:v>6752.18</c:v>
                </c:pt>
                <c:pt idx="12">
                  <c:v>177417.60000000001</c:v>
                </c:pt>
                <c:pt idx="13">
                  <c:v>97494.62</c:v>
                </c:pt>
                <c:pt idx="14">
                  <c:v>99069.48</c:v>
                </c:pt>
                <c:pt idx="15">
                  <c:v>318169.68</c:v>
                </c:pt>
                <c:pt idx="16">
                  <c:v>198764.49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F-46AA-8E2C-44397FD14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2247600"/>
        <c:axId val="182254320"/>
      </c:barChart>
      <c:catAx>
        <c:axId val="18224760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4320"/>
        <c:crosses val="autoZero"/>
        <c:auto val="1"/>
        <c:lblAlgn val="ctr"/>
        <c:lblOffset val="100"/>
        <c:noMultiLvlLbl val="0"/>
      </c:catAx>
      <c:valAx>
        <c:axId val="18225432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822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10 CITY</a:t>
            </a:r>
          </a:p>
          <a:p>
            <a:pPr>
              <a:defRPr b="1">
                <a:solidFill>
                  <a:schemeClr val="tx1"/>
                </a:solidFill>
              </a:defRPr>
            </a:pP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364059347953407"/>
          <c:y val="2.531489298373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917030567685589E-2"/>
          <c:y val="0.1727315335583052"/>
          <c:w val="0.76725091405059098"/>
          <c:h val="0.78323559164479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ورقة1!$C$4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ورقة1!$B$5:$B$15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Detroit</c:v>
                </c:pt>
                <c:pt idx="3">
                  <c:v>Los Angeles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Philadelphia</c:v>
                </c:pt>
                <c:pt idx="8">
                  <c:v>Seattle</c:v>
                </c:pt>
                <c:pt idx="9">
                  <c:v>Washington</c:v>
                </c:pt>
              </c:strCache>
            </c:strRef>
          </c:cat>
          <c:val>
            <c:numRef>
              <c:f>ورقة1!$C$5:$C$15</c:f>
              <c:numCache>
                <c:formatCode>General</c:formatCode>
                <c:ptCount val="10"/>
                <c:pt idx="0">
                  <c:v>60395.39</c:v>
                </c:pt>
                <c:pt idx="1">
                  <c:v>22958</c:v>
                </c:pt>
                <c:pt idx="2">
                  <c:v>29451.26</c:v>
                </c:pt>
                <c:pt idx="3">
                  <c:v>154806.10999999999</c:v>
                </c:pt>
                <c:pt idx="4">
                  <c:v>20974.45</c:v>
                </c:pt>
                <c:pt idx="5">
                  <c:v>19266.400000000001</c:v>
                </c:pt>
                <c:pt idx="6">
                  <c:v>144717.48000000001</c:v>
                </c:pt>
                <c:pt idx="7">
                  <c:v>28442.95</c:v>
                </c:pt>
                <c:pt idx="8">
                  <c:v>38437.769999999997</c:v>
                </c:pt>
                <c:pt idx="9">
                  <c:v>68946.66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F-4820-BE72-1FE539750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3827695"/>
        <c:axId val="1553828655"/>
      </c:barChart>
      <c:catAx>
        <c:axId val="15538276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828655"/>
        <c:crosses val="autoZero"/>
        <c:auto val="1"/>
        <c:lblAlgn val="ctr"/>
        <c:lblOffset val="100"/>
        <c:noMultiLvlLbl val="0"/>
      </c:catAx>
      <c:valAx>
        <c:axId val="1553828655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3827695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Worksheet.xlsx]ورقة1!STATE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10 STATE</a:t>
            </a:r>
          </a:p>
        </c:rich>
      </c:tx>
      <c:layout>
        <c:manualLayout>
          <c:xMode val="edge"/>
          <c:yMode val="edge"/>
          <c:x val="0.3841405330799168"/>
          <c:y val="6.9997519364957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41019549280476"/>
          <c:y val="0.26340050145488997"/>
          <c:w val="0.56988513009947828"/>
          <c:h val="0.637546199582195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ورقة1!$F$4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ورقة1!$E$5:$E$15</c:f>
              <c:strCache>
                <c:ptCount val="10"/>
                <c:pt idx="0">
                  <c:v>California</c:v>
                </c:pt>
                <c:pt idx="1">
                  <c:v>District of Columbia</c:v>
                </c:pt>
                <c:pt idx="2">
                  <c:v>Florida</c:v>
                </c:pt>
                <c:pt idx="3">
                  <c:v>Illinois</c:v>
                </c:pt>
                <c:pt idx="4">
                  <c:v>Massachusetts</c:v>
                </c:pt>
                <c:pt idx="5">
                  <c:v>Michigan</c:v>
                </c:pt>
                <c:pt idx="6">
                  <c:v>New York</c:v>
                </c:pt>
                <c:pt idx="7">
                  <c:v>Ohio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ورقة1!$F$5:$F$15</c:f>
              <c:numCache>
                <c:formatCode>General</c:formatCode>
                <c:ptCount val="10"/>
                <c:pt idx="0">
                  <c:v>288240.87</c:v>
                </c:pt>
                <c:pt idx="1">
                  <c:v>68946.66</c:v>
                </c:pt>
                <c:pt idx="2">
                  <c:v>87651.11</c:v>
                </c:pt>
                <c:pt idx="3">
                  <c:v>98971.25</c:v>
                </c:pt>
                <c:pt idx="4">
                  <c:v>69855.39</c:v>
                </c:pt>
                <c:pt idx="5">
                  <c:v>69641.81</c:v>
                </c:pt>
                <c:pt idx="6">
                  <c:v>223532.15</c:v>
                </c:pt>
                <c:pt idx="7">
                  <c:v>69452.820000000007</c:v>
                </c:pt>
                <c:pt idx="8">
                  <c:v>93082.73</c:v>
                </c:pt>
                <c:pt idx="9">
                  <c:v>83468.06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6-452A-8251-5760738625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277840"/>
        <c:axId val="182268720"/>
      </c:barChart>
      <c:catAx>
        <c:axId val="1822778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8720"/>
        <c:crosses val="autoZero"/>
        <c:auto val="1"/>
        <c:lblAlgn val="ctr"/>
        <c:lblOffset val="100"/>
        <c:noMultiLvlLbl val="0"/>
      </c:catAx>
      <c:valAx>
        <c:axId val="182268720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22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[New Microsoft Excel Worksheet.xlsx]ورقة1!REGION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REGION</a:t>
            </a:r>
          </a:p>
        </c:rich>
      </c:tx>
      <c:layout>
        <c:manualLayout>
          <c:xMode val="edge"/>
          <c:yMode val="edge"/>
          <c:x val="0.47227549278403247"/>
          <c:y val="0.10942744372862483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405511811023613E-2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19444444444446"/>
                  <c:h val="9.8171478565179354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722878390201229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397222222222222"/>
                  <c:h val="9.3541848935549732E-2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953193350831146E-2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16666666666666E-2"/>
                  <c:h val="0.10280110819480898"/>
                </c:manualLayout>
              </c15:layout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405511811023613E-2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19444444444446"/>
                  <c:h val="9.8171478565179354E-2"/>
                </c:manualLayout>
              </c15:layout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722878390201229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397222222222222"/>
                  <c:h val="9.3541848935549732E-2"/>
                </c:manualLayout>
              </c15:layout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953193350831146E-2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16666666666666E-2"/>
                  <c:h val="0.10280110819480898"/>
                </c:manualLayout>
              </c15:layout>
            </c:ext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885535343400635E-3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122836099781156"/>
                  <c:h val="9.8171478565179354E-2"/>
                </c:manualLayout>
              </c15:layout>
            </c:ext>
          </c:extLst>
        </c:dLbl>
      </c:pivotFmt>
      <c:pivotFmt>
        <c:idx val="12"/>
        <c:spPr>
          <a:solidFill>
            <a:schemeClr val="accent4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3927266233341335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3563446535942"/>
                  <c:h val="9.3541848935549732E-2"/>
                </c:manualLayout>
              </c15:layout>
            </c:ext>
          </c:extLst>
        </c:dLbl>
      </c:pivotFmt>
      <c:pivotFmt>
        <c:idx val="13"/>
        <c:spPr>
          <a:solidFill>
            <a:schemeClr val="accent4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14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00465373355339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460335463607215"/>
                  <c:h val="0.1028011081948089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ورقة1!$I$4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EF-45D7-9F67-D6AE55A535E8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EF-45D7-9F67-D6AE55A535E8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EF-45D7-9F67-D6AE55A535E8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EF-45D7-9F67-D6AE55A535E8}"/>
              </c:ext>
            </c:extLst>
          </c:dPt>
          <c:dLbls>
            <c:dLbl>
              <c:idx val="0"/>
              <c:layout>
                <c:manualLayout>
                  <c:x val="-6.3885535343400635E-3"/>
                  <c:y val="0.1367147856517934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22836099781156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EF-45D7-9F67-D6AE55A535E8}"/>
                </c:ext>
              </c:extLst>
            </c:dLbl>
            <c:dLbl>
              <c:idx val="1"/>
              <c:layout>
                <c:manualLayout>
                  <c:x val="-2.3927266233341335E-2"/>
                  <c:y val="-8.7848133566637593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563446535942"/>
                      <c:h val="9.35418489355497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EF-45D7-9F67-D6AE55A535E8}"/>
                </c:ext>
              </c:extLst>
            </c:dLbl>
            <c:dLbl>
              <c:idx val="2"/>
              <c:layout>
                <c:manualLayout>
                  <c:x val="6.1116902424973293E-2"/>
                  <c:y val="-0.171691090696996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41337615353364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EF-45D7-9F67-D6AE55A535E8}"/>
                </c:ext>
              </c:extLst>
            </c:dLbl>
            <c:dLbl>
              <c:idx val="3"/>
              <c:layout>
                <c:manualLayout>
                  <c:x val="0.1000465373355339"/>
                  <c:y val="0.1342392096821230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60335463607215"/>
                      <c:h val="0.1028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EF-45D7-9F67-D6AE55A535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ورقة1!$H$5:$H$9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ورقة1!$I$5:$I$9</c:f>
              <c:numCache>
                <c:formatCode>General</c:formatCode>
                <c:ptCount val="4"/>
                <c:pt idx="0">
                  <c:v>526884.81999999995</c:v>
                </c:pt>
                <c:pt idx="1">
                  <c:v>357105.12</c:v>
                </c:pt>
                <c:pt idx="2">
                  <c:v>605364.46</c:v>
                </c:pt>
                <c:pt idx="3">
                  <c:v>448284.7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EF-45D7-9F67-D6AE55A535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solidFill>
          <a:schemeClr val="tx1"/>
        </a:solidFill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9872408293460927E-2"/>
          <c:y val="0.41065804274465689"/>
          <c:w val="0.16916512828240968"/>
          <c:h val="0.29762113069199686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TOP 5 CUSTOMERS IN EACH CUSTOMER SEGMENTS</a:t>
            </a:r>
          </a:p>
        </c:rich>
      </c:tx>
      <c:layout>
        <c:manualLayout>
          <c:xMode val="edge"/>
          <c:yMode val="edge"/>
          <c:x val="0.16277147138942016"/>
          <c:y val="1.8230208847656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7.179487179487179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1.9606299212598425E-3"/>
              <c:y val="0.1179487179487179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73-4E49-906F-B1216DA42ED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73-4E49-906F-B1216DA42EDD}"/>
              </c:ext>
            </c:extLst>
          </c:dPt>
          <c:dLbls>
            <c:dLbl>
              <c:idx val="3"/>
              <c:layout>
                <c:manualLayout>
                  <c:x val="0"/>
                  <c:y val="7.1794871794871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73-4E49-906F-B1216DA42EDD}"/>
                </c:ext>
              </c:extLst>
            </c:dLbl>
            <c:dLbl>
              <c:idx val="12"/>
              <c:layout>
                <c:manualLayout>
                  <c:x val="-1.9606299212598425E-3"/>
                  <c:y val="0.1179487179487179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73-4E49-906F-B1216DA42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ورقة1!$Y$5:$Y$29</c:f>
              <c:multiLvlStrCache>
                <c:ptCount val="20"/>
                <c:lvl>
                  <c:pt idx="0">
                    <c:v>Andrew Levine</c:v>
                  </c:pt>
                  <c:pt idx="1">
                    <c:v>Christopher Meadows</c:v>
                  </c:pt>
                  <c:pt idx="2">
                    <c:v>Leroy Blanchard</c:v>
                  </c:pt>
                  <c:pt idx="3">
                    <c:v>Nina Horne Kelly</c:v>
                  </c:pt>
                  <c:pt idx="4">
                    <c:v>Richard McClure</c:v>
                  </c:pt>
                  <c:pt idx="5">
                    <c:v>Don Rogers</c:v>
                  </c:pt>
                  <c:pt idx="6">
                    <c:v>Erin Ballard</c:v>
                  </c:pt>
                  <c:pt idx="7">
                    <c:v>Sean N Boyer</c:v>
                  </c:pt>
                  <c:pt idx="8">
                    <c:v>Tom Hoyle Honeycutt</c:v>
                  </c:pt>
                  <c:pt idx="9">
                    <c:v>Yvonne Mann</c:v>
                  </c:pt>
                  <c:pt idx="10">
                    <c:v>Annie Odom</c:v>
                  </c:pt>
                  <c:pt idx="11">
                    <c:v>Eileen Schwartz</c:v>
                  </c:pt>
                  <c:pt idx="12">
                    <c:v>Kristine Connolly</c:v>
                  </c:pt>
                  <c:pt idx="13">
                    <c:v>Scott Bunn</c:v>
                  </c:pt>
                  <c:pt idx="14">
                    <c:v>Tammy Raynor</c:v>
                  </c:pt>
                  <c:pt idx="15">
                    <c:v>Caroline Johnston</c:v>
                  </c:pt>
                  <c:pt idx="16">
                    <c:v>Lee Xu</c:v>
                  </c:pt>
                  <c:pt idx="17">
                    <c:v>Neal Wolfe</c:v>
                  </c:pt>
                  <c:pt idx="18">
                    <c:v>Rosemary O'Brien</c:v>
                  </c:pt>
                  <c:pt idx="19">
                    <c:v>Toni Swanson</c:v>
                  </c:pt>
                </c:lvl>
                <c:lvl>
                  <c:pt idx="0">
                    <c:v>Small Business</c:v>
                  </c:pt>
                  <c:pt idx="5">
                    <c:v>Home Office</c:v>
                  </c:pt>
                  <c:pt idx="10">
                    <c:v>Corporate</c:v>
                  </c:pt>
                  <c:pt idx="15">
                    <c:v>Consumer</c:v>
                  </c:pt>
                </c:lvl>
              </c:multiLvlStrCache>
            </c:multiLvlStrRef>
          </c:cat>
          <c:val>
            <c:numRef>
              <c:f>ورقة1!$Z$5:$Z$29</c:f>
              <c:numCache>
                <c:formatCode>General</c:formatCode>
                <c:ptCount val="20"/>
                <c:pt idx="0">
                  <c:v>16792.21</c:v>
                </c:pt>
                <c:pt idx="1">
                  <c:v>15224.63</c:v>
                </c:pt>
                <c:pt idx="2">
                  <c:v>12599.55</c:v>
                </c:pt>
                <c:pt idx="3">
                  <c:v>48295.12</c:v>
                </c:pt>
                <c:pt idx="4">
                  <c:v>15269.7</c:v>
                </c:pt>
                <c:pt idx="5">
                  <c:v>13831.16</c:v>
                </c:pt>
                <c:pt idx="6">
                  <c:v>20565.990000000002</c:v>
                </c:pt>
                <c:pt idx="7">
                  <c:v>13096.32</c:v>
                </c:pt>
                <c:pt idx="8">
                  <c:v>12584.99</c:v>
                </c:pt>
                <c:pt idx="9">
                  <c:v>28779.13</c:v>
                </c:pt>
                <c:pt idx="10">
                  <c:v>13424.37</c:v>
                </c:pt>
                <c:pt idx="11">
                  <c:v>12602.91</c:v>
                </c:pt>
                <c:pt idx="12">
                  <c:v>50207.78</c:v>
                </c:pt>
                <c:pt idx="13">
                  <c:v>15943.48</c:v>
                </c:pt>
                <c:pt idx="14">
                  <c:v>18642.71</c:v>
                </c:pt>
                <c:pt idx="15">
                  <c:v>21481.14</c:v>
                </c:pt>
                <c:pt idx="16">
                  <c:v>20640.349999999999</c:v>
                </c:pt>
                <c:pt idx="17">
                  <c:v>17390.240000000002</c:v>
                </c:pt>
                <c:pt idx="18">
                  <c:v>29916.01</c:v>
                </c:pt>
                <c:pt idx="19">
                  <c:v>32194.12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2-4BF3-8804-431B8FF37D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2293680"/>
        <c:axId val="182307120"/>
      </c:barChart>
      <c:catAx>
        <c:axId val="18229368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7120"/>
        <c:crosses val="autoZero"/>
        <c:auto val="1"/>
        <c:lblAlgn val="ctr"/>
        <c:lblOffset val="100"/>
        <c:noMultiLvlLbl val="0"/>
      </c:catAx>
      <c:valAx>
        <c:axId val="18230712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8229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LOWEST 10 CITYS</a:t>
            </a:r>
          </a:p>
        </c:rich>
      </c:tx>
      <c:layout>
        <c:manualLayout>
          <c:xMode val="edge"/>
          <c:yMode val="edge"/>
          <c:x val="0.33657377960066975"/>
          <c:y val="2.4309618728389449E-3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4.5913682277318639E-3"/>
              <c:y val="-3.2407225138524433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03213957759411"/>
                  <c:h val="0.14800925925925923"/>
                </c:manualLayout>
              </c15:layout>
            </c:ext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80624426078971"/>
                  <c:h val="0.11560185185185186"/>
                </c:manualLayout>
              </c15:layout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1.988387816085384E-7"/>
              <c:y val="-4.0477408544270947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073-4FE1-B5FB-D45A728AEFE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073-4FE1-B5FB-D45A728AEFE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073-4FE1-B5FB-D45A728AEFEC}"/>
              </c:ext>
            </c:extLst>
          </c:dPt>
          <c:dLbls>
            <c:dLbl>
              <c:idx val="3"/>
              <c:layout>
                <c:manualLayout>
                  <c:x val="-4.5913682277318639E-3"/>
                  <c:y val="-3.2407225138524433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03213957759411"/>
                      <c:h val="0.148009259259259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073-4FE1-B5FB-D45A728AEFEC}"/>
                </c:ext>
              </c:extLst>
            </c:dLbl>
            <c:dLbl>
              <c:idx val="4"/>
              <c:layout>
                <c:manualLayout>
                  <c:x val="1.988387816085384E-7"/>
                  <c:y val="-4.04774085442709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73-4FE1-B5FB-D45A728AEFEC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80624426078971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073-4FE1-B5FB-D45A728AEFEC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ورقة1!$B$24:$B$34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Detroit</c:v>
                </c:pt>
                <c:pt idx="3">
                  <c:v>Los Angeles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Philadelphia</c:v>
                </c:pt>
                <c:pt idx="8">
                  <c:v>Seattle</c:v>
                </c:pt>
                <c:pt idx="9">
                  <c:v>Washington</c:v>
                </c:pt>
              </c:strCache>
            </c:strRef>
          </c:cat>
          <c:val>
            <c:numRef>
              <c:f>ورقة1!$C$24:$C$34</c:f>
              <c:numCache>
                <c:formatCode>General</c:formatCode>
                <c:ptCount val="10"/>
                <c:pt idx="0">
                  <c:v>60395.39</c:v>
                </c:pt>
                <c:pt idx="1">
                  <c:v>22958</c:v>
                </c:pt>
                <c:pt idx="2">
                  <c:v>29451.26</c:v>
                </c:pt>
                <c:pt idx="3">
                  <c:v>154806.10999999999</c:v>
                </c:pt>
                <c:pt idx="4">
                  <c:v>20974.45</c:v>
                </c:pt>
                <c:pt idx="5">
                  <c:v>19266.400000000001</c:v>
                </c:pt>
                <c:pt idx="6">
                  <c:v>144717.48000000001</c:v>
                </c:pt>
                <c:pt idx="7">
                  <c:v>28442.95</c:v>
                </c:pt>
                <c:pt idx="8">
                  <c:v>38437.769999999997</c:v>
                </c:pt>
                <c:pt idx="9">
                  <c:v>68946.66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3-4FE1-B5FB-D45A728AEF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3650735"/>
        <c:axId val="813647855"/>
      </c:barChart>
      <c:catAx>
        <c:axId val="813650735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47855"/>
        <c:crosses val="autoZero"/>
        <c:auto val="1"/>
        <c:lblAlgn val="ctr"/>
        <c:lblOffset val="100"/>
        <c:noMultiLvlLbl val="0"/>
      </c:catAx>
      <c:valAx>
        <c:axId val="813647855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1365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LOWEST</a:t>
            </a:r>
            <a:r>
              <a:rPr lang="en-US" b="1" baseline="0">
                <a:solidFill>
                  <a:schemeClr val="bg1"/>
                </a:solidFill>
              </a:rPr>
              <a:t> 10 STATE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ورقة1!$F$37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ورقة1!$E$38:$E$48</c:f>
              <c:strCache>
                <c:ptCount val="10"/>
                <c:pt idx="0">
                  <c:v>California</c:v>
                </c:pt>
                <c:pt idx="1">
                  <c:v>District of Columbia</c:v>
                </c:pt>
                <c:pt idx="2">
                  <c:v>Florida</c:v>
                </c:pt>
                <c:pt idx="3">
                  <c:v>Illinois</c:v>
                </c:pt>
                <c:pt idx="4">
                  <c:v>Massachusetts</c:v>
                </c:pt>
                <c:pt idx="5">
                  <c:v>Michigan</c:v>
                </c:pt>
                <c:pt idx="6">
                  <c:v>New York</c:v>
                </c:pt>
                <c:pt idx="7">
                  <c:v>Ohio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ورقة1!$F$38:$F$48</c:f>
              <c:numCache>
                <c:formatCode>General</c:formatCode>
                <c:ptCount val="10"/>
                <c:pt idx="0">
                  <c:v>288240.87</c:v>
                </c:pt>
                <c:pt idx="1">
                  <c:v>68946.66</c:v>
                </c:pt>
                <c:pt idx="2">
                  <c:v>87651.11</c:v>
                </c:pt>
                <c:pt idx="3">
                  <c:v>98971.25</c:v>
                </c:pt>
                <c:pt idx="4">
                  <c:v>69855.39</c:v>
                </c:pt>
                <c:pt idx="5">
                  <c:v>69641.81</c:v>
                </c:pt>
                <c:pt idx="6">
                  <c:v>223532.15</c:v>
                </c:pt>
                <c:pt idx="7">
                  <c:v>69452.820000000007</c:v>
                </c:pt>
                <c:pt idx="8">
                  <c:v>93082.73</c:v>
                </c:pt>
                <c:pt idx="9">
                  <c:v>83468.06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6-4522-8AD5-67D26736EA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3550415"/>
        <c:axId val="813522095"/>
      </c:barChart>
      <c:catAx>
        <c:axId val="8135504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22095"/>
        <c:crosses val="autoZero"/>
        <c:auto val="1"/>
        <c:lblAlgn val="ctr"/>
        <c:lblOffset val="100"/>
        <c:noMultiLvlLbl val="0"/>
      </c:catAx>
      <c:valAx>
        <c:axId val="813522095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35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[New Microsoft Excel Worksheet.xlsx]ورقة1!REGION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REGION</a:t>
            </a:r>
          </a:p>
        </c:rich>
      </c:tx>
      <c:layout>
        <c:manualLayout>
          <c:xMode val="edge"/>
          <c:yMode val="edge"/>
          <c:x val="0.47227549278403247"/>
          <c:y val="0.10942744372862483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405511811023613E-2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19444444444446"/>
                  <c:h val="9.8171478565179354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722878390201229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397222222222222"/>
                  <c:h val="9.3541848935549732E-2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953193350831146E-2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16666666666666E-2"/>
                  <c:h val="0.10280110819480898"/>
                </c:manualLayout>
              </c15:layout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405511811023613E-2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19444444444446"/>
                  <c:h val="9.8171478565179354E-2"/>
                </c:manualLayout>
              </c15:layout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722878390201229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397222222222222"/>
                  <c:h val="9.3541848935549732E-2"/>
                </c:manualLayout>
              </c15:layout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953193350831146E-2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16666666666666E-2"/>
                  <c:h val="0.10280110819480898"/>
                </c:manualLayout>
              </c15:layout>
            </c:ext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885535343400635E-3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122836099781156"/>
                  <c:h val="9.8171478565179354E-2"/>
                </c:manualLayout>
              </c15:layout>
            </c:ext>
          </c:extLst>
        </c:dLbl>
      </c:pivotFmt>
      <c:pivotFmt>
        <c:idx val="12"/>
        <c:spPr>
          <a:solidFill>
            <a:schemeClr val="accent4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3927266233341335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3563446535942"/>
                  <c:h val="9.3541848935549732E-2"/>
                </c:manualLayout>
              </c15:layout>
            </c:ext>
          </c:extLst>
        </c:dLbl>
      </c:pivotFmt>
      <c:pivotFmt>
        <c:idx val="13"/>
        <c:spPr>
          <a:solidFill>
            <a:schemeClr val="accent4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14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00465373355339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460335463607215"/>
                  <c:h val="0.10280110819480898"/>
                </c:manualLayout>
              </c15:layout>
            </c:ext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885535343400635E-3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122836099781156"/>
                  <c:h val="9.8171478565179354E-2"/>
                </c:manualLayout>
              </c15:layout>
            </c:ext>
          </c:extLst>
        </c:dLbl>
      </c:pivotFmt>
      <c:pivotFmt>
        <c:idx val="17"/>
        <c:spPr>
          <a:solidFill>
            <a:schemeClr val="accent4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3927266233341335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3563446535942"/>
                  <c:h val="9.3541848935549732E-2"/>
                </c:manualLayout>
              </c15:layout>
            </c:ext>
          </c:extLst>
        </c:dLbl>
      </c:pivotFmt>
      <c:pivotFmt>
        <c:idx val="18"/>
        <c:spPr>
          <a:solidFill>
            <a:schemeClr val="accent4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19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00465373355339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460335463607215"/>
                  <c:h val="0.10280110819480898"/>
                </c:manualLayout>
              </c15:layout>
            </c:ext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3885535343400635E-3"/>
              <c:y val="0.1367147856517934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122836099781156"/>
                  <c:h val="9.8171478565179354E-2"/>
                </c:manualLayout>
              </c15:layout>
            </c:ext>
          </c:extLst>
        </c:dLbl>
      </c:pivotFmt>
      <c:pivotFmt>
        <c:idx val="22"/>
        <c:spPr>
          <a:solidFill>
            <a:schemeClr val="accent4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3927266233341335E-2"/>
              <c:y val="-8.78481335666375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3563446535942"/>
                  <c:h val="9.3541848935549732E-2"/>
                </c:manualLayout>
              </c15:layout>
            </c:ext>
          </c:extLst>
        </c:dLbl>
      </c:pivotFmt>
      <c:pivotFmt>
        <c:idx val="23"/>
        <c:spPr>
          <a:solidFill>
            <a:schemeClr val="accent4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1116902424973293E-2"/>
              <c:y val="-0.171691090696996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1337615353364"/>
                  <c:h val="9.8171478565179354E-2"/>
                </c:manualLayout>
              </c15:layout>
            </c:ext>
          </c:extLst>
        </c:dLbl>
      </c:pivotFmt>
      <c:pivotFmt>
        <c:idx val="24"/>
        <c:spPr>
          <a:solidFill>
            <a:schemeClr val="accent4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00465373355339"/>
              <c:y val="0.1342392096821230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460335463607215"/>
                  <c:h val="0.1028011081948089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ورقة1!$I$4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FA-4A3F-A5B2-450D82D73DAC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FA-4A3F-A5B2-450D82D73DAC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FA-4A3F-A5B2-450D82D73DAC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FA-4A3F-A5B2-450D82D73DAC}"/>
              </c:ext>
            </c:extLst>
          </c:dPt>
          <c:dLbls>
            <c:dLbl>
              <c:idx val="0"/>
              <c:layout>
                <c:manualLayout>
                  <c:x val="-6.3885535343400635E-3"/>
                  <c:y val="0.1367147856517934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22836099781156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FA-4A3F-A5B2-450D82D73DAC}"/>
                </c:ext>
              </c:extLst>
            </c:dLbl>
            <c:dLbl>
              <c:idx val="1"/>
              <c:layout>
                <c:manualLayout>
                  <c:x val="-2.3927266233341335E-2"/>
                  <c:y val="-8.7848133566637593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563446535942"/>
                      <c:h val="9.35418489355497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1FA-4A3F-A5B2-450D82D73DAC}"/>
                </c:ext>
              </c:extLst>
            </c:dLbl>
            <c:dLbl>
              <c:idx val="2"/>
              <c:layout>
                <c:manualLayout>
                  <c:x val="6.1116902424973293E-2"/>
                  <c:y val="-0.171691090696996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41337615353364"/>
                      <c:h val="9.81714785651793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1FA-4A3F-A5B2-450D82D73DAC}"/>
                </c:ext>
              </c:extLst>
            </c:dLbl>
            <c:dLbl>
              <c:idx val="3"/>
              <c:layout>
                <c:manualLayout>
                  <c:x val="0.1000465373355339"/>
                  <c:y val="0.1342392096821230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60335463607215"/>
                      <c:h val="0.1028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1FA-4A3F-A5B2-450D82D73DA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ورقة1!$H$5:$H$9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ورقة1!$I$5:$I$9</c:f>
              <c:numCache>
                <c:formatCode>General</c:formatCode>
                <c:ptCount val="4"/>
                <c:pt idx="0">
                  <c:v>526884.81999999995</c:v>
                </c:pt>
                <c:pt idx="1">
                  <c:v>357105.12</c:v>
                </c:pt>
                <c:pt idx="2">
                  <c:v>605364.46</c:v>
                </c:pt>
                <c:pt idx="3">
                  <c:v>448284.7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FA-4A3F-A5B2-450D82D73D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solidFill>
          <a:schemeClr val="tx1"/>
        </a:solidFill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9872408293460927E-2"/>
          <c:y val="0.41065804274465689"/>
          <c:w val="0.16916512828240968"/>
          <c:h val="0.29762113069199686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Worksheet.xlsx]ورقة1!PivotTable1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10 CITY</a:t>
            </a:r>
          </a:p>
          <a:p>
            <a:pPr>
              <a:defRPr b="1">
                <a:solidFill>
                  <a:schemeClr val="tx1"/>
                </a:solidFill>
              </a:defRPr>
            </a:pP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364059347953407"/>
          <c:y val="2.531489298373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917030567685589E-2"/>
          <c:y val="0.1727315335583052"/>
          <c:w val="0.76725091405059098"/>
          <c:h val="0.78323559164479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ورقة1!$C$4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ورقة1!$B$5:$B$15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Detroit</c:v>
                </c:pt>
                <c:pt idx="3">
                  <c:v>Los Angeles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Philadelphia</c:v>
                </c:pt>
                <c:pt idx="8">
                  <c:v>Seattle</c:v>
                </c:pt>
                <c:pt idx="9">
                  <c:v>Washington</c:v>
                </c:pt>
              </c:strCache>
            </c:strRef>
          </c:cat>
          <c:val>
            <c:numRef>
              <c:f>ورقة1!$C$5:$C$15</c:f>
              <c:numCache>
                <c:formatCode>General</c:formatCode>
                <c:ptCount val="10"/>
                <c:pt idx="0">
                  <c:v>60395.39</c:v>
                </c:pt>
                <c:pt idx="1">
                  <c:v>22958</c:v>
                </c:pt>
                <c:pt idx="2">
                  <c:v>29451.26</c:v>
                </c:pt>
                <c:pt idx="3">
                  <c:v>154806.10999999999</c:v>
                </c:pt>
                <c:pt idx="4">
                  <c:v>20974.45</c:v>
                </c:pt>
                <c:pt idx="5">
                  <c:v>19266.400000000001</c:v>
                </c:pt>
                <c:pt idx="6">
                  <c:v>144717.48000000001</c:v>
                </c:pt>
                <c:pt idx="7">
                  <c:v>28442.95</c:v>
                </c:pt>
                <c:pt idx="8">
                  <c:v>38437.769999999997</c:v>
                </c:pt>
                <c:pt idx="9">
                  <c:v>68946.66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B-48BC-B99C-210B025406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3827695"/>
        <c:axId val="1553828655"/>
      </c:barChart>
      <c:catAx>
        <c:axId val="15538276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828655"/>
        <c:crosses val="autoZero"/>
        <c:auto val="1"/>
        <c:lblAlgn val="ctr"/>
        <c:lblOffset val="100"/>
        <c:noMultiLvlLbl val="0"/>
      </c:catAx>
      <c:valAx>
        <c:axId val="1553828655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3827695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3.xml"/><Relationship Id="rId7" Type="http://schemas.openxmlformats.org/officeDocument/2006/relationships/chart" Target="../charts/chart16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1.png"/><Relationship Id="rId11" Type="http://schemas.openxmlformats.org/officeDocument/2006/relationships/chart" Target="../charts/chart20.xml"/><Relationship Id="rId5" Type="http://schemas.openxmlformats.org/officeDocument/2006/relationships/chart" Target="../charts/chart15.xml"/><Relationship Id="rId10" Type="http://schemas.openxmlformats.org/officeDocument/2006/relationships/chart" Target="../charts/chart19.xml"/><Relationship Id="rId4" Type="http://schemas.openxmlformats.org/officeDocument/2006/relationships/chart" Target="../charts/chart14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28</xdr:row>
      <xdr:rowOff>19050</xdr:rowOff>
    </xdr:from>
    <xdr:to>
      <xdr:col>10</xdr:col>
      <xdr:colOff>327660</xdr:colOff>
      <xdr:row>49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D132A-0360-9EFD-0CC9-D9B81FAFB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640080</xdr:colOff>
      <xdr:row>15</xdr:row>
      <xdr:rowOff>167640</xdr:rowOff>
    </xdr:from>
    <xdr:to>
      <xdr:col>6</xdr:col>
      <xdr:colOff>22860</xdr:colOff>
      <xdr:row>32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494742-F89B-737C-D971-163BAD86C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220980</xdr:colOff>
      <xdr:row>9</xdr:row>
      <xdr:rowOff>49530</xdr:rowOff>
    </xdr:from>
    <xdr:to>
      <xdr:col>9</xdr:col>
      <xdr:colOff>487680</xdr:colOff>
      <xdr:row>24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B60468-CC3F-D58E-D0C1-5DA36DFD7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449580</xdr:colOff>
      <xdr:row>16</xdr:row>
      <xdr:rowOff>34290</xdr:rowOff>
    </xdr:from>
    <xdr:to>
      <xdr:col>13</xdr:col>
      <xdr:colOff>792480</xdr:colOff>
      <xdr:row>35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DA3200-A40F-A8DD-DB13-E9AC51136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11</xdr:row>
      <xdr:rowOff>11430</xdr:rowOff>
    </xdr:from>
    <xdr:to>
      <xdr:col>17</xdr:col>
      <xdr:colOff>274320</xdr:colOff>
      <xdr:row>26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A4FB13-6628-4FA3-6DE5-084672C24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320040</xdr:colOff>
      <xdr:row>12</xdr:row>
      <xdr:rowOff>11430</xdr:rowOff>
    </xdr:from>
    <xdr:to>
      <xdr:col>20</xdr:col>
      <xdr:colOff>441960</xdr:colOff>
      <xdr:row>27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EBEE92-7D93-93EB-20D3-02EB68757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579120</xdr:colOff>
      <xdr:row>16</xdr:row>
      <xdr:rowOff>19050</xdr:rowOff>
    </xdr:from>
    <xdr:to>
      <xdr:col>22</xdr:col>
      <xdr:colOff>388620</xdr:colOff>
      <xdr:row>31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D8C771-154A-8C45-5D18-1FCDC506E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152400</xdr:colOff>
      <xdr:row>30</xdr:row>
      <xdr:rowOff>22860</xdr:rowOff>
    </xdr:from>
    <xdr:to>
      <xdr:col>28</xdr:col>
      <xdr:colOff>449580</xdr:colOff>
      <xdr:row>52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1950C5-6B2A-BE77-754D-F70EE1116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35</xdr:row>
      <xdr:rowOff>11430</xdr:rowOff>
    </xdr:from>
    <xdr:to>
      <xdr:col>3</xdr:col>
      <xdr:colOff>15240</xdr:colOff>
      <xdr:row>50</xdr:row>
      <xdr:rowOff>11430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5F42C9-E945-49DC-F623-D72C56FF2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60960</xdr:colOff>
      <xdr:row>37</xdr:row>
      <xdr:rowOff>102870</xdr:rowOff>
    </xdr:from>
    <xdr:to>
      <xdr:col>5</xdr:col>
      <xdr:colOff>746760</xdr:colOff>
      <xdr:row>52</xdr:row>
      <xdr:rowOff>102870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82938A-8FED-92C3-73E1-65BDD5033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441960</xdr:colOff>
      <xdr:row>30</xdr:row>
      <xdr:rowOff>175260</xdr:rowOff>
    </xdr:from>
    <xdr:to>
      <xdr:col>23</xdr:col>
      <xdr:colOff>342900</xdr:colOff>
      <xdr:row>39</xdr:row>
      <xdr:rowOff>129540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B89C466-D03A-59CC-2DF1-7F179FF94871}"/>
            </a:ext>
          </a:extLst>
        </xdr:cNvPr>
        <xdr:cNvSpPr/>
      </xdr:nvSpPr>
      <xdr:spPr>
        <a:xfrm>
          <a:off x="9973322700" y="5661660"/>
          <a:ext cx="1729740" cy="16002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20</xdr:col>
      <xdr:colOff>449580</xdr:colOff>
      <xdr:row>39</xdr:row>
      <xdr:rowOff>167640</xdr:rowOff>
    </xdr:from>
    <xdr:to>
      <xdr:col>23</xdr:col>
      <xdr:colOff>365760</xdr:colOff>
      <xdr:row>48</xdr:row>
      <xdr:rowOff>121920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0A333EB-974E-6D31-0361-F5F6A3DA1156}"/>
            </a:ext>
          </a:extLst>
        </xdr:cNvPr>
        <xdr:cNvSpPr/>
      </xdr:nvSpPr>
      <xdr:spPr>
        <a:xfrm>
          <a:off x="9973299840" y="7299960"/>
          <a:ext cx="1744980" cy="16002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20</xdr:col>
      <xdr:colOff>457200</xdr:colOff>
      <xdr:row>48</xdr:row>
      <xdr:rowOff>167640</xdr:rowOff>
    </xdr:from>
    <xdr:to>
      <xdr:col>23</xdr:col>
      <xdr:colOff>350520</xdr:colOff>
      <xdr:row>57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7C692A7-C266-E7F2-225A-DD24851A8D85}"/>
            </a:ext>
          </a:extLst>
        </xdr:cNvPr>
        <xdr:cNvSpPr/>
      </xdr:nvSpPr>
      <xdr:spPr>
        <a:xfrm>
          <a:off x="9973315080" y="8945880"/>
          <a:ext cx="1722120" cy="16230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20</xdr:col>
      <xdr:colOff>373380</xdr:colOff>
      <xdr:row>0</xdr:row>
      <xdr:rowOff>45720</xdr:rowOff>
    </xdr:from>
    <xdr:to>
      <xdr:col>23</xdr:col>
      <xdr:colOff>312420</xdr:colOff>
      <xdr:row>6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1D3E7BE-DA9D-13BD-E583-459B2FE56E3E}"/>
            </a:ext>
          </a:extLst>
        </xdr:cNvPr>
        <xdr:cNvSpPr/>
      </xdr:nvSpPr>
      <xdr:spPr>
        <a:xfrm>
          <a:off x="9973353180" y="45720"/>
          <a:ext cx="1767840" cy="11277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83820</xdr:colOff>
      <xdr:row>30</xdr:row>
      <xdr:rowOff>68580</xdr:rowOff>
    </xdr:from>
    <xdr:to>
      <xdr:col>20</xdr:col>
      <xdr:colOff>396240</xdr:colOff>
      <xdr:row>57</xdr:row>
      <xdr:rowOff>175260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D3C72D7-2700-9F84-4D5B-D4F4DA971621}"/>
            </a:ext>
          </a:extLst>
        </xdr:cNvPr>
        <xdr:cNvSpPr/>
      </xdr:nvSpPr>
      <xdr:spPr>
        <a:xfrm>
          <a:off x="9975098160" y="5554980"/>
          <a:ext cx="12504420" cy="50444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11</xdr:col>
      <xdr:colOff>182880</xdr:colOff>
      <xdr:row>30</xdr:row>
      <xdr:rowOff>68580</xdr:rowOff>
    </xdr:from>
    <xdr:to>
      <xdr:col>20</xdr:col>
      <xdr:colOff>525780</xdr:colOff>
      <xdr:row>40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430796-D693-4F07-8F7E-316F36D30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236220</xdr:colOff>
      <xdr:row>39</xdr:row>
      <xdr:rowOff>144780</xdr:rowOff>
    </xdr:from>
    <xdr:to>
      <xdr:col>20</xdr:col>
      <xdr:colOff>335280</xdr:colOff>
      <xdr:row>57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44944F-48DD-42A1-B19D-227DF5187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182880</xdr:colOff>
      <xdr:row>11</xdr:row>
      <xdr:rowOff>114300</xdr:rowOff>
    </xdr:from>
    <xdr:to>
      <xdr:col>7</xdr:col>
      <xdr:colOff>236220</xdr:colOff>
      <xdr:row>28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66F497-1C44-4CC1-A176-808CA5013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43</xdr:row>
      <xdr:rowOff>53340</xdr:rowOff>
    </xdr:from>
    <xdr:to>
      <xdr:col>6</xdr:col>
      <xdr:colOff>91440</xdr:colOff>
      <xdr:row>58</xdr:row>
      <xdr:rowOff>68580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36A5B6-7F0A-4A31-965B-30BC24E94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60960</xdr:colOff>
      <xdr:row>9</xdr:row>
      <xdr:rowOff>144780</xdr:rowOff>
    </xdr:from>
    <xdr:to>
      <xdr:col>20</xdr:col>
      <xdr:colOff>198120</xdr:colOff>
      <xdr:row>25</xdr:row>
      <xdr:rowOff>99060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A5EA0A-BF31-40DA-9624-5053BB166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449580</xdr:colOff>
      <xdr:row>0</xdr:row>
      <xdr:rowOff>0</xdr:rowOff>
    </xdr:from>
    <xdr:to>
      <xdr:col>11</xdr:col>
      <xdr:colOff>510540</xdr:colOff>
      <xdr:row>0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0F2E776-126C-7541-762D-83E7BBAFE770}"/>
            </a:ext>
          </a:extLst>
        </xdr:cNvPr>
        <xdr:cNvSpPr/>
      </xdr:nvSpPr>
      <xdr:spPr>
        <a:xfrm>
          <a:off x="9980470260" y="0"/>
          <a:ext cx="1280160" cy="0"/>
        </a:xfrm>
        <a:prstGeom prst="round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525780</xdr:colOff>
      <xdr:row>0</xdr:row>
      <xdr:rowOff>0</xdr:rowOff>
    </xdr:from>
    <xdr:to>
      <xdr:col>5</xdr:col>
      <xdr:colOff>586740</xdr:colOff>
      <xdr:row>0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C0BD618-BB5E-19A8-C9D2-BE12034AB823}"/>
            </a:ext>
          </a:extLst>
        </xdr:cNvPr>
        <xdr:cNvSpPr/>
      </xdr:nvSpPr>
      <xdr:spPr>
        <a:xfrm>
          <a:off x="9984051660" y="0"/>
          <a:ext cx="1280160" cy="0"/>
        </a:xfrm>
        <a:prstGeom prst="round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17</xdr:col>
      <xdr:colOff>269374</xdr:colOff>
      <xdr:row>30</xdr:row>
      <xdr:rowOff>160020</xdr:rowOff>
    </xdr:from>
    <xdr:to>
      <xdr:col>20</xdr:col>
      <xdr:colOff>175261</xdr:colOff>
      <xdr:row>31</xdr:row>
      <xdr:rowOff>175260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84ACC61-1BEC-4D0E-CCE1-62F7E91A974A}"/>
            </a:ext>
          </a:extLst>
        </xdr:cNvPr>
        <xdr:cNvSpPr txBox="1"/>
      </xdr:nvSpPr>
      <xdr:spPr>
        <a:xfrm>
          <a:off x="9975319139" y="5646420"/>
          <a:ext cx="1734687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20</xdr:col>
      <xdr:colOff>464820</xdr:colOff>
      <xdr:row>1</xdr:row>
      <xdr:rowOff>99060</xdr:rowOff>
    </xdr:from>
    <xdr:to>
      <xdr:col>21</xdr:col>
      <xdr:colOff>563941</xdr:colOff>
      <xdr:row>5</xdr:row>
      <xdr:rowOff>15296</xdr:rowOff>
    </xdr:to>
    <xdr:pic>
      <xdr:nvPicPr>
        <xdr:cNvPr id="65" name="Picture 64" descr="Lightbulb and gear outline">
          <a:extLst>
            <a:ext uri="{FF2B5EF4-FFF2-40B4-BE49-F238E27FC236}">
              <a16:creationId xmlns:a16="http://schemas.microsoft.com/office/drawing/2014/main" id="{C1CF601C-5AAA-CC6D-15AC-A2C55331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alphaModFix amt="50000"/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974320859" y="281940"/>
          <a:ext cx="708721" cy="647756"/>
        </a:xfrm>
        <a:prstGeom prst="rect">
          <a:avLst/>
        </a:prstGeom>
        <a:solidFill>
          <a:schemeClr val="tx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21</xdr:col>
      <xdr:colOff>510540</xdr:colOff>
      <xdr:row>2</xdr:row>
      <xdr:rowOff>45720</xdr:rowOff>
    </xdr:from>
    <xdr:to>
      <xdr:col>23</xdr:col>
      <xdr:colOff>312420</xdr:colOff>
      <xdr:row>4</xdr:row>
      <xdr:rowOff>152400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64CFC77-D74C-52FF-6D2E-BE0F2FC7C43D}"/>
            </a:ext>
          </a:extLst>
        </xdr:cNvPr>
        <xdr:cNvSpPr txBox="1"/>
      </xdr:nvSpPr>
      <xdr:spPr>
        <a:xfrm>
          <a:off x="9973353180" y="411480"/>
          <a:ext cx="10210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600" b="1">
              <a:solidFill>
                <a:schemeClr val="bg1"/>
              </a:solidFill>
            </a:rPr>
            <a:t>INSIGHTS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342900</xdr:colOff>
      <xdr:row>32</xdr:row>
      <xdr:rowOff>22860</xdr:rowOff>
    </xdr:from>
    <xdr:to>
      <xdr:col>23</xdr:col>
      <xdr:colOff>358140</xdr:colOff>
      <xdr:row>39</xdr:row>
      <xdr:rowOff>45720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0032D4E-DA1D-FA49-93D2-72460D9CC51B}"/>
            </a:ext>
          </a:extLst>
        </xdr:cNvPr>
        <xdr:cNvSpPr txBox="1"/>
      </xdr:nvSpPr>
      <xdr:spPr>
        <a:xfrm>
          <a:off x="9973307460" y="5875020"/>
          <a:ext cx="1844040" cy="1303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>
              <a:solidFill>
                <a:schemeClr val="bg1"/>
              </a:solidFill>
            </a:rPr>
            <a:t>The best-selling category is TECHNOLGY</a:t>
          </a:r>
        </a:p>
        <a:p>
          <a:pPr algn="ctr" rtl="1"/>
          <a:endParaRPr lang="en-US" sz="1100" b="1"/>
        </a:p>
        <a:p>
          <a:pPr algn="ctr" rtl="1"/>
          <a:r>
            <a:rPr lang="en-US" sz="1100" b="1">
              <a:solidFill>
                <a:schemeClr val="bg1"/>
              </a:solidFill>
            </a:rPr>
            <a:t>The best-selling</a:t>
          </a:r>
        </a:p>
        <a:p>
          <a:pPr algn="ctr" rtl="1"/>
          <a:r>
            <a:rPr lang="en-US" sz="1100" b="1">
              <a:solidFill>
                <a:schemeClr val="bg1"/>
              </a:solidFill>
            </a:rPr>
            <a:t> sub- category is</a:t>
          </a:r>
          <a:r>
            <a:rPr lang="en-US" sz="1100" b="1" baseline="0">
              <a:solidFill>
                <a:schemeClr val="bg1"/>
              </a:solidFill>
            </a:rPr>
            <a:t> OFFICE MACHINES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502088</xdr:colOff>
      <xdr:row>41</xdr:row>
      <xdr:rowOff>152400</xdr:rowOff>
    </xdr:from>
    <xdr:to>
      <xdr:col>23</xdr:col>
      <xdr:colOff>335280</xdr:colOff>
      <xdr:row>51</xdr:row>
      <xdr:rowOff>137160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740B177-287A-D87F-CD15-8C43F22D6560}"/>
            </a:ext>
          </a:extLst>
        </xdr:cNvPr>
        <xdr:cNvSpPr txBox="1"/>
      </xdr:nvSpPr>
      <xdr:spPr>
        <a:xfrm>
          <a:off x="9973330320" y="7650480"/>
          <a:ext cx="1661992" cy="1813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endParaRPr lang="en-US" sz="1050" b="1"/>
        </a:p>
        <a:p>
          <a:pPr algn="ctr" rtl="1"/>
          <a:r>
            <a:rPr lang="en-US" sz="1050" b="1">
              <a:solidFill>
                <a:schemeClr val="bg1"/>
              </a:solidFill>
            </a:rPr>
            <a:t>The most purchasing state</a:t>
          </a:r>
          <a:r>
            <a:rPr lang="en-US" sz="1050" b="1" baseline="0">
              <a:solidFill>
                <a:schemeClr val="bg1"/>
              </a:solidFill>
            </a:rPr>
            <a:t> is CALIFORINA and the lowest is WYOMING</a:t>
          </a:r>
        </a:p>
        <a:p>
          <a:pPr algn="ctr" rtl="1"/>
          <a:endParaRPr lang="en-US" sz="1050" b="1" baseline="0">
            <a:noFill/>
          </a:endParaRPr>
        </a:p>
        <a:p>
          <a:pPr algn="ctr" rtl="1"/>
          <a:endParaRPr lang="en-US" sz="1100" b="1"/>
        </a:p>
      </xdr:txBody>
    </xdr:sp>
    <xdr:clientData/>
  </xdr:twoCellAnchor>
  <xdr:twoCellAnchor>
    <xdr:from>
      <xdr:col>20</xdr:col>
      <xdr:colOff>525780</xdr:colOff>
      <xdr:row>46</xdr:row>
      <xdr:rowOff>114300</xdr:rowOff>
    </xdr:from>
    <xdr:to>
      <xdr:col>23</xdr:col>
      <xdr:colOff>251460</xdr:colOff>
      <xdr:row>61</xdr:row>
      <xdr:rowOff>114300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E27F463-18BF-2EC5-3357-7BCAAA50F95C}"/>
            </a:ext>
          </a:extLst>
        </xdr:cNvPr>
        <xdr:cNvSpPr txBox="1"/>
      </xdr:nvSpPr>
      <xdr:spPr>
        <a:xfrm>
          <a:off x="9973414140" y="8526780"/>
          <a:ext cx="1554480" cy="274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100" b="1">
              <a:solidFill>
                <a:schemeClr val="bg1"/>
              </a:solidFill>
            </a:rPr>
            <a:t>The most purching</a:t>
          </a:r>
          <a:r>
            <a:rPr lang="en-US" sz="1100" b="1" baseline="0">
              <a:solidFill>
                <a:schemeClr val="bg1"/>
              </a:solidFill>
            </a:rPr>
            <a:t> customer segment is CORPORATE</a:t>
          </a:r>
        </a:p>
        <a:p>
          <a:pPr algn="ctr" rtl="1"/>
          <a:endParaRPr lang="en-US" sz="1100" b="1" baseline="0">
            <a:solidFill>
              <a:schemeClr val="bg1"/>
            </a:solidFill>
          </a:endParaRPr>
        </a:p>
        <a:p>
          <a:pPr algn="ctr" rtl="1"/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purching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customer name is TONI SWANSON</a:t>
          </a:r>
          <a:endParaRPr lang="en-US" sz="1100" b="1" baseline="0">
            <a:solidFill>
              <a:schemeClr val="bg1"/>
            </a:solidFill>
          </a:endParaRPr>
        </a:p>
        <a:p>
          <a:pPr algn="ctr" rtl="1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0</xdr:col>
      <xdr:colOff>510540</xdr:colOff>
      <xdr:row>32</xdr:row>
      <xdr:rowOff>45720</xdr:rowOff>
    </xdr:from>
    <xdr:to>
      <xdr:col>11</xdr:col>
      <xdr:colOff>281940</xdr:colOff>
      <xdr:row>45</xdr:row>
      <xdr:rowOff>144780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E682FCE8-4698-4B70-ADBA-51E0B06A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0</xdr:row>
      <xdr:rowOff>68580</xdr:rowOff>
    </xdr:from>
    <xdr:to>
      <xdr:col>20</xdr:col>
      <xdr:colOff>251460</xdr:colOff>
      <xdr:row>29</xdr:row>
      <xdr:rowOff>129540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62C03BA-2ACA-DD21-25B0-7B64FA885EC4}"/>
            </a:ext>
          </a:extLst>
        </xdr:cNvPr>
        <xdr:cNvSpPr/>
      </xdr:nvSpPr>
      <xdr:spPr>
        <a:xfrm>
          <a:off x="9975242940" y="68580"/>
          <a:ext cx="12443460" cy="536448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60960</xdr:colOff>
      <xdr:row>11</xdr:row>
      <xdr:rowOff>144780</xdr:rowOff>
    </xdr:from>
    <xdr:to>
      <xdr:col>15</xdr:col>
      <xdr:colOff>68580</xdr:colOff>
      <xdr:row>29</xdr:row>
      <xdr:rowOff>121920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7156793-278C-46EA-A85A-5FD5C4E4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518160</xdr:colOff>
      <xdr:row>44</xdr:row>
      <xdr:rowOff>0</xdr:rowOff>
    </xdr:from>
    <xdr:to>
      <xdr:col>11</xdr:col>
      <xdr:colOff>335280</xdr:colOff>
      <xdr:row>58</xdr:row>
      <xdr:rowOff>45720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5D85160-8A96-4724-AADF-C040ADA02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403860</xdr:colOff>
      <xdr:row>6</xdr:row>
      <xdr:rowOff>129540</xdr:rowOff>
    </xdr:from>
    <xdr:to>
      <xdr:col>23</xdr:col>
      <xdr:colOff>327660</xdr:colOff>
      <xdr:row>17</xdr:row>
      <xdr:rowOff>30480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8CFF26DC-0F81-81B0-C2C7-5BA9E903D1A1}"/>
            </a:ext>
          </a:extLst>
        </xdr:cNvPr>
        <xdr:cNvSpPr/>
      </xdr:nvSpPr>
      <xdr:spPr>
        <a:xfrm>
          <a:off x="9973337940" y="1226820"/>
          <a:ext cx="1752600" cy="191262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20</xdr:col>
      <xdr:colOff>434340</xdr:colOff>
      <xdr:row>8</xdr:row>
      <xdr:rowOff>38100</xdr:rowOff>
    </xdr:from>
    <xdr:to>
      <xdr:col>23</xdr:col>
      <xdr:colOff>297180</xdr:colOff>
      <xdr:row>15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1" name="Order Date">
              <a:extLst>
                <a:ext uri="{FF2B5EF4-FFF2-40B4-BE49-F238E27FC236}">
                  <a16:creationId xmlns:a16="http://schemas.microsoft.com/office/drawing/2014/main" id="{6CFF0839-48D3-1DC2-0D03-EE6E04907E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3414140" y="1501140"/>
              <a:ext cx="159258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20</xdr:col>
      <xdr:colOff>396240</xdr:colOff>
      <xdr:row>17</xdr:row>
      <xdr:rowOff>68580</xdr:rowOff>
    </xdr:from>
    <xdr:to>
      <xdr:col>23</xdr:col>
      <xdr:colOff>320040</xdr:colOff>
      <xdr:row>28</xdr:row>
      <xdr:rowOff>22860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DEF07AA-B97E-74A4-8B42-E1E54259980C}"/>
            </a:ext>
          </a:extLst>
        </xdr:cNvPr>
        <xdr:cNvSpPr/>
      </xdr:nvSpPr>
      <xdr:spPr>
        <a:xfrm>
          <a:off x="9973345560" y="3177540"/>
          <a:ext cx="1752600" cy="1965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20</xdr:col>
      <xdr:colOff>441960</xdr:colOff>
      <xdr:row>19</xdr:row>
      <xdr:rowOff>60960</xdr:rowOff>
    </xdr:from>
    <xdr:to>
      <xdr:col>23</xdr:col>
      <xdr:colOff>304800</xdr:colOff>
      <xdr:row>30</xdr:row>
      <xdr:rowOff>121920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83859A-4BFF-CDDD-2FDB-5C1FD121113E}"/>
            </a:ext>
          </a:extLst>
        </xdr:cNvPr>
        <xdr:cNvSpPr txBox="1"/>
      </xdr:nvSpPr>
      <xdr:spPr>
        <a:xfrm>
          <a:off x="9973360800" y="3535680"/>
          <a:ext cx="1691640" cy="207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purching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city  is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LOS ANGELES</a:t>
          </a:r>
          <a:endParaRPr lang="en-US">
            <a:solidFill>
              <a:schemeClr val="bg1"/>
            </a:solidFill>
            <a:effectLst/>
          </a:endParaRPr>
        </a:p>
        <a:p>
          <a:pPr algn="r" rtl="1"/>
          <a:endParaRPr lang="en-US" sz="1100">
            <a:solidFill>
              <a:schemeClr val="bg1"/>
            </a:solidFill>
          </a:endParaRPr>
        </a:p>
        <a:p>
          <a:pPr algn="ctr" rtl="1" eaLnBrk="1" fontAlgn="auto" latinLnBrk="0" hangingPunct="1"/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lowest purching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city  is</a:t>
          </a:r>
          <a:endParaRPr lang="en-US">
            <a:solidFill>
              <a:schemeClr val="bg1"/>
            </a:solidFill>
            <a:effectLst/>
          </a:endParaRPr>
        </a:p>
        <a:p>
          <a:pPr algn="ctr" rtl="1" eaLnBrk="1" fontAlgn="auto" latinLnBrk="0" hangingPunct="1"/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MIAMI </a:t>
          </a:r>
          <a:endParaRPr lang="en-US">
            <a:solidFill>
              <a:schemeClr val="bg1"/>
            </a:solidFill>
            <a:effectLst/>
          </a:endParaRPr>
        </a:p>
        <a:p>
          <a:pPr algn="r" rtl="1"/>
          <a:endParaRPr lang="en-US" sz="1100"/>
        </a:p>
      </xdr:txBody>
    </xdr:sp>
    <xdr:clientData/>
  </xdr:twoCellAnchor>
  <xdr:twoCellAnchor>
    <xdr:from>
      <xdr:col>4</xdr:col>
      <xdr:colOff>373380</xdr:colOff>
      <xdr:row>1</xdr:row>
      <xdr:rowOff>83820</xdr:rowOff>
    </xdr:from>
    <xdr:to>
      <xdr:col>16</xdr:col>
      <xdr:colOff>510540</xdr:colOff>
      <xdr:row>4</xdr:row>
      <xdr:rowOff>68580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62EC22A-ACEF-2E20-3103-478841C8EEAF}"/>
            </a:ext>
          </a:extLst>
        </xdr:cNvPr>
        <xdr:cNvSpPr/>
      </xdr:nvSpPr>
      <xdr:spPr>
        <a:xfrm>
          <a:off x="9977422260" y="266700"/>
          <a:ext cx="7452360" cy="533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99060</xdr:colOff>
      <xdr:row>1</xdr:row>
      <xdr:rowOff>114300</xdr:rowOff>
    </xdr:from>
    <xdr:to>
      <xdr:col>16</xdr:col>
      <xdr:colOff>205740</xdr:colOff>
      <xdr:row>4</xdr:row>
      <xdr:rowOff>53340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5F56CA-DAD7-6E61-0D1C-A853A9E7EA48}"/>
            </a:ext>
          </a:extLst>
        </xdr:cNvPr>
        <xdr:cNvSpPr txBox="1"/>
      </xdr:nvSpPr>
      <xdr:spPr>
        <a:xfrm>
          <a:off x="9977727060" y="297180"/>
          <a:ext cx="6202680" cy="487680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3200" b="1">
              <a:solidFill>
                <a:schemeClr val="bg1"/>
              </a:solidFill>
            </a:rPr>
            <a:t>AMAZON</a:t>
          </a:r>
          <a:r>
            <a:rPr lang="en-US" sz="3200" b="1" baseline="0">
              <a:solidFill>
                <a:schemeClr val="bg1"/>
              </a:solidFill>
            </a:rPr>
            <a:t> SALES ANANLYSIS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281940</xdr:colOff>
      <xdr:row>11</xdr:row>
      <xdr:rowOff>137160</xdr:rowOff>
    </xdr:from>
    <xdr:to>
      <xdr:col>19</xdr:col>
      <xdr:colOff>419100</xdr:colOff>
      <xdr:row>27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3A5A5E-652D-423B-B9DA-F680099E3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350520</xdr:colOff>
      <xdr:row>10</xdr:row>
      <xdr:rowOff>121920</xdr:rowOff>
    </xdr:from>
    <xdr:to>
      <xdr:col>7</xdr:col>
      <xdr:colOff>403860</xdr:colOff>
      <xdr:row>27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1C27BC-9E28-4006-A448-E671C2BEC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274320</xdr:colOff>
      <xdr:row>5</xdr:row>
      <xdr:rowOff>160020</xdr:rowOff>
    </xdr:from>
    <xdr:to>
      <xdr:col>18</xdr:col>
      <xdr:colOff>38100</xdr:colOff>
      <xdr:row>9</xdr:row>
      <xdr:rowOff>0</xdr:rowOff>
    </xdr:to>
    <xdr:sp macro="" textlink="ورقة1!AB7">
      <xdr:nvSpPr>
        <xdr:cNvPr id="18" name="Rectangle: Rounded Corners 17">
          <a:extLst>
            <a:ext uri="{FF2B5EF4-FFF2-40B4-BE49-F238E27FC236}">
              <a16:creationId xmlns:a16="http://schemas.microsoft.com/office/drawing/2014/main" id="{B24CAC90-8985-4407-9747-544E30BEB408}"/>
            </a:ext>
          </a:extLst>
        </xdr:cNvPr>
        <xdr:cNvSpPr/>
      </xdr:nvSpPr>
      <xdr:spPr>
        <a:xfrm>
          <a:off x="9976675500" y="1074420"/>
          <a:ext cx="2811780" cy="5715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 rtl="1"/>
          <a:fld id="{1360F0AB-D25F-4E87-ABBD-3DB93485EF66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 rtl="1"/>
            <a:t>1937639.1</a:t>
          </a:fld>
          <a:endParaRPr lang="en-US" sz="1200" b="1"/>
        </a:p>
      </xdr:txBody>
    </xdr:sp>
    <xdr:clientData/>
  </xdr:twoCellAnchor>
  <xdr:twoCellAnchor>
    <xdr:from>
      <xdr:col>8</xdr:col>
      <xdr:colOff>396240</xdr:colOff>
      <xdr:row>5</xdr:row>
      <xdr:rowOff>167640</xdr:rowOff>
    </xdr:from>
    <xdr:to>
      <xdr:col>13</xdr:col>
      <xdr:colOff>160020</xdr:colOff>
      <xdr:row>9</xdr:row>
      <xdr:rowOff>7620</xdr:rowOff>
    </xdr:to>
    <xdr:sp macro="" textlink="ورقة1!AB18">
      <xdr:nvSpPr>
        <xdr:cNvPr id="19" name="Rectangle: Rounded Corners 18">
          <a:extLst>
            <a:ext uri="{FF2B5EF4-FFF2-40B4-BE49-F238E27FC236}">
              <a16:creationId xmlns:a16="http://schemas.microsoft.com/office/drawing/2014/main" id="{76F0CCD3-B7A2-196F-D3D5-F5B981EEAFBF}"/>
            </a:ext>
          </a:extLst>
        </xdr:cNvPr>
        <xdr:cNvSpPr/>
      </xdr:nvSpPr>
      <xdr:spPr>
        <a:xfrm>
          <a:off x="9979601580" y="1082040"/>
          <a:ext cx="2811780" cy="5715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 rtl="1"/>
          <a:fld id="{A5471C88-4441-4FDF-A96D-E447D07C7CEE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1022</a:t>
          </a:fld>
          <a:endParaRPr lang="en-US" sz="1200" b="1"/>
        </a:p>
      </xdr:txBody>
    </xdr:sp>
    <xdr:clientData/>
  </xdr:twoCellAnchor>
  <xdr:twoCellAnchor>
    <xdr:from>
      <xdr:col>3</xdr:col>
      <xdr:colOff>518160</xdr:colOff>
      <xdr:row>6</xdr:row>
      <xdr:rowOff>7620</xdr:rowOff>
    </xdr:from>
    <xdr:to>
      <xdr:col>8</xdr:col>
      <xdr:colOff>281940</xdr:colOff>
      <xdr:row>9</xdr:row>
      <xdr:rowOff>30480</xdr:rowOff>
    </xdr:to>
    <xdr:sp macro="" textlink="ورقة1!AB27">
      <xdr:nvSpPr>
        <xdr:cNvPr id="20" name="Rectangle: Rounded Corners 19">
          <a:extLst>
            <a:ext uri="{FF2B5EF4-FFF2-40B4-BE49-F238E27FC236}">
              <a16:creationId xmlns:a16="http://schemas.microsoft.com/office/drawing/2014/main" id="{D5320CC6-9A6D-8726-E988-389F06D5DE62}"/>
            </a:ext>
          </a:extLst>
        </xdr:cNvPr>
        <xdr:cNvSpPr/>
      </xdr:nvSpPr>
      <xdr:spPr>
        <a:xfrm>
          <a:off x="9982527660" y="1104900"/>
          <a:ext cx="2811780" cy="5715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 rtl="1"/>
          <a:fld id="{49F0A752-3054-4B2C-BEC1-F2575FD13F2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96.09</a:t>
          </a:fld>
          <a:endParaRPr lang="en-US" sz="1200" b="1"/>
        </a:p>
      </xdr:txBody>
    </xdr:sp>
    <xdr:clientData/>
  </xdr:twoCellAnchor>
  <xdr:twoCellAnchor>
    <xdr:from>
      <xdr:col>14</xdr:col>
      <xdr:colOff>167640</xdr:colOff>
      <xdr:row>6</xdr:row>
      <xdr:rowOff>22860</xdr:rowOff>
    </xdr:from>
    <xdr:to>
      <xdr:col>17</xdr:col>
      <xdr:colOff>121920</xdr:colOff>
      <xdr:row>7</xdr:row>
      <xdr:rowOff>91440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194D44-76F7-FD86-BCA9-BA38FE2BE077}"/>
            </a:ext>
          </a:extLst>
        </xdr:cNvPr>
        <xdr:cNvSpPr txBox="1"/>
      </xdr:nvSpPr>
      <xdr:spPr>
        <a:xfrm>
          <a:off x="9977201280" y="1120140"/>
          <a:ext cx="1783080" cy="2514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sales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464820</xdr:colOff>
      <xdr:row>6</xdr:row>
      <xdr:rowOff>76200</xdr:rowOff>
    </xdr:from>
    <xdr:to>
      <xdr:col>7</xdr:col>
      <xdr:colOff>419100</xdr:colOff>
      <xdr:row>7</xdr:row>
      <xdr:rowOff>144780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1A9AFF-D7A5-3EE8-7DC9-A82D86114186}"/>
            </a:ext>
          </a:extLst>
        </xdr:cNvPr>
        <xdr:cNvSpPr txBox="1"/>
      </xdr:nvSpPr>
      <xdr:spPr>
        <a:xfrm>
          <a:off x="9983000100" y="1173480"/>
          <a:ext cx="1783080" cy="2514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100" b="1">
              <a:solidFill>
                <a:schemeClr val="bg1"/>
              </a:solidFill>
            </a:rPr>
            <a:t>Sum of discount</a:t>
          </a:r>
        </a:p>
      </xdr:txBody>
    </xdr:sp>
    <xdr:clientData/>
  </xdr:twoCellAnchor>
  <xdr:twoCellAnchor>
    <xdr:from>
      <xdr:col>9</xdr:col>
      <xdr:colOff>381000</xdr:colOff>
      <xdr:row>6</xdr:row>
      <xdr:rowOff>30480</xdr:rowOff>
    </xdr:from>
    <xdr:to>
      <xdr:col>12</xdr:col>
      <xdr:colOff>335280</xdr:colOff>
      <xdr:row>7</xdr:row>
      <xdr:rowOff>99060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8695F3-2D43-4483-AA65-ECBAB6641A8C}"/>
            </a:ext>
          </a:extLst>
        </xdr:cNvPr>
        <xdr:cNvSpPr txBox="1"/>
      </xdr:nvSpPr>
      <xdr:spPr>
        <a:xfrm>
          <a:off x="9980035920" y="1127760"/>
          <a:ext cx="1783080" cy="2514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100" b="1">
              <a:solidFill>
                <a:schemeClr val="bg1"/>
              </a:solidFill>
            </a:rPr>
            <a:t>Count of returns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3148151" backgroundQuery="1" createdVersion="8" refreshedVersion="8" minRefreshableVersion="3" recordCount="0" supportSubquery="1" supportAdvancedDrill="1" xr:uid="{62AF7D37-3946-41BD-9824-2DC5F166ACC4}">
  <cacheSource type="external" connectionId="4"/>
  <cacheFields count="3">
    <cacheField name="[INVOICES].[Product Category].[Product Category]" caption="Product Category" numFmtId="0" hierarchy="11" level="1">
      <sharedItems count="3">
        <s v="Furniture"/>
        <s v="Office Supplies"/>
        <s v="Technology"/>
      </sharedItems>
    </cacheField>
    <cacheField name="[INVOICES].[Product Sub-Category].[Product Sub-Category]" caption="Product Sub-Category" numFmtId="0" hierarchy="12" level="1">
      <sharedItems count="17">
        <s v="Bookcases"/>
        <s v="Chairs &amp; Chairmats"/>
        <s v="Office Furnishings"/>
        <s v="Tables"/>
        <s v="Appliances"/>
        <s v="Binders and Binder Accessories"/>
        <s v="Envelopes"/>
        <s v="Labels"/>
        <s v="Paper"/>
        <s v="Pens &amp; Art Supplies"/>
        <s v="Rubber Bands"/>
        <s v="Scissors, Rulers and Trimmers"/>
        <s v="Storage &amp; Organization"/>
        <s v="Computer Peripherals"/>
        <s v="Copiers and Fax"/>
        <s v="Office Machines"/>
        <s v="Telephones and Communication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>
      <fieldsUsage count="2">
        <fieldUsage x="-1"/>
        <fieldUsage x="1"/>
      </fieldsUsage>
    </cacheHierarchy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3379628" backgroundQuery="1" createdVersion="8" refreshedVersion="8" minRefreshableVersion="3" recordCount="0" supportSubquery="1" supportAdvancedDrill="1" xr:uid="{7DBA660E-D1EB-4E80-B198-5150D4949AFF}">
  <cacheSource type="external" connectionId="4"/>
  <cacheFields count="1">
    <cacheField name="[Measures].[Count of Status]" caption="Count of Status" numFmtId="0" hierarchy="37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384259" backgroundQuery="1" createdVersion="8" refreshedVersion="8" minRefreshableVersion="3" recordCount="0" supportSubquery="1" supportAdvancedDrill="1" xr:uid="{3F29F4F2-FEE4-4048-A157-25A4E69A6CEC}">
  <cacheSource type="external" connectionId="4"/>
  <cacheFields count="2">
    <cacheField name="[INVOICES].[Customer Segment].[Customer Segment]" caption="Customer Segment" numFmtId="0" hierarchy="10" level="1">
      <sharedItems count="4">
        <s v="Consumer"/>
        <s v="Corporate"/>
        <s v="Home Office"/>
        <s v="Small Business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4305552" backgroundQuery="1" createdVersion="8" refreshedVersion="8" minRefreshableVersion="3" recordCount="0" supportSubquery="1" supportAdvancedDrill="1" xr:uid="{F3B78996-5F0A-464E-8C25-03FAF01BC3F4}">
  <cacheSource type="external" connectionId="4"/>
  <cacheFields count="3">
    <cacheField name="[INVOICES].[Order Date].[Order Date]" caption="Order Date" numFmtId="0" hierarchy="21" level="1">
      <sharedItems containsSemiMixedTypes="0" containsNonDate="0" containsDate="1" containsString="0" minDate="2015-01-01T00:00:00" maxDate="2015-07-01T00:00:00" count="179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</sharedItems>
    </cacheField>
    <cacheField name="[INVOICES].[Order Date (Month)].[Order Date (Month)]" caption="Order Date (Month)" numFmtId="0" hierarchy="27" level="1">
      <sharedItems count="6">
        <s v="Jan"/>
        <s v="Feb"/>
        <s v="Mar"/>
        <s v="Apr"/>
        <s v="May"/>
        <s v="Jun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>
      <fieldsUsage count="2">
        <fieldUsage x="-1"/>
        <fieldUsage x="0"/>
      </fieldsUsage>
    </cacheHierarchy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2" memberValueDatatype="130" unbalanced="0">
      <fieldsUsage count="2">
        <fieldUsage x="-1"/>
        <fieldUsage x="1"/>
      </fieldsUsage>
    </cacheHierarchy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4768521" backgroundQuery="1" createdVersion="8" refreshedVersion="8" minRefreshableVersion="3" recordCount="0" supportSubquery="1" supportAdvancedDrill="1" xr:uid="{AF6D9ED1-3F1C-4E0B-97E8-7DB950F36E4A}">
  <cacheSource type="external" connectionId="4"/>
  <cacheFields count="2">
    <cacheField name="[INVOICES].[City].[City]" caption="City" numFmtId="0" hierarchy="19" level="1">
      <sharedItems count="10">
        <s v="Boston"/>
        <s v="Chicago"/>
        <s v="Detroit"/>
        <s v="Los Angeles"/>
        <s v="Madison"/>
        <s v="Miami"/>
        <s v="New York City"/>
        <s v="Philadelphia"/>
        <s v="Seattle"/>
        <s v="Washington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5462961" backgroundQuery="1" createdVersion="8" refreshedVersion="8" minRefreshableVersion="3" recordCount="0" supportSubquery="1" supportAdvancedDrill="1" xr:uid="{D626B19B-6EDE-465A-85B3-A33132341502}">
  <cacheSource type="external" connectionId="4"/>
  <cacheFields count="1">
    <cacheField name="[INVOICES].[Discount].[Discount]" caption="Discount" numFmtId="0" hierarchy="4" level="1">
      <sharedItems containsSemiMixedTypes="0" containsString="0" containsNumber="1" minValue="0" maxValue="0.21" count="13">
        <n v="0"/>
        <n v="0.01"/>
        <n v="0.02"/>
        <n v="0.03"/>
        <n v="0.04"/>
        <n v="0.05"/>
        <n v="0.06"/>
        <n v="7.0000000000000007E-2"/>
        <n v="0.08"/>
        <n v="0.09"/>
        <n v="0.1"/>
        <n v="0.17"/>
        <n v="0.21"/>
      </sharedItems>
    </cacheField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2" memberValueDatatype="5" unbalanced="0">
      <fieldsUsage count="2">
        <fieldUsage x="-1"/>
        <fieldUsage x="0"/>
      </fieldsUsage>
    </cacheHierarchy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5925922" backgroundQuery="1" createdVersion="8" refreshedVersion="8" minRefreshableVersion="3" recordCount="0" supportSubquery="1" supportAdvancedDrill="1" xr:uid="{F1F54722-FCAB-42C6-865C-FB460977E0D4}">
  <cacheSource type="external" connectionId="4"/>
  <cacheFields count="2">
    <cacheField name="[INVOICES].[Product Name].[Product Name]" caption="Product Name" numFmtId="0" hierarchy="14" level="1">
      <sharedItems count="10">
        <s v="Atlantic Metals Mobile 5-Shelf Bookcases, Custom Colors"/>
        <s v="Economy Rollaway Files"/>
        <s v="Fellowes PB500 Electric Punch Plastic Comb Binding Machine with Manual Bind"/>
        <s v="Global Troy™ Executive Leather Low-Back Tilter"/>
        <s v="Hon 4700 Series Mobuis™ Mid-Back Task Chairs with Adjustable Arms"/>
        <s v="Lexmark 4227 Plus Dot Matrix Printer"/>
        <s v="Okidata ML395C Color Dot Matrix Printer"/>
        <s v="Polycom ViewStation™ ISDN Videoconferencing Unit"/>
        <s v="SAFCO PlanMaster Heigh-Adjustable Drafting Table Base, 43w x 30d x 30-37h, Black"/>
        <s v="Smead Adjustable Mobile File Trolley with Lockable Top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6273146" backgroundQuery="1" createdVersion="8" refreshedVersion="8" minRefreshableVersion="3" recordCount="0" supportSubquery="1" supportAdvancedDrill="1" xr:uid="{49B9B112-206B-4BA1-89D6-7165349C10DA}">
  <cacheSource type="external" connectionId="4"/>
  <cacheFields count="2">
    <cacheField name="[Measures].[Sum of Sales]" caption="Sum of Sales" numFmtId="0" hierarchy="35" level="32767"/>
    <cacheField name="[INVOICES].[Region].[Region]" caption="Region" numFmtId="0" hierarchy="17" level="1">
      <sharedItems count="4">
        <s v="Central"/>
        <s v="East"/>
        <s v="South"/>
        <s v="West"/>
      </sharedItems>
    </cacheField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2" memberValueDatatype="130" unbalanced="0">
      <fieldsUsage count="2">
        <fieldUsage x="-1"/>
        <fieldUsage x="1"/>
      </fieldsUsage>
    </cacheHierarchy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6736108" backgroundQuery="1" createdVersion="8" refreshedVersion="8" minRefreshableVersion="3" recordCount="0" supportSubquery="1" supportAdvancedDrill="1" xr:uid="{AA1865EB-BF95-4812-BBD2-828152714F4A}">
  <cacheSource type="external" connectionId="4"/>
  <cacheFields count="2">
    <cacheField name="[Measures].[Sum of Sales]" caption="Sum of Sales" numFmtId="0" hierarchy="35" level="32767"/>
    <cacheField name="[INVOICES].[State or Province].[State or Province]" caption="State or Province" numFmtId="0" hierarchy="18" level="1">
      <sharedItems count="10">
        <s v="California"/>
        <s v="District of Columbia"/>
        <s v="Florida"/>
        <s v="Illinois"/>
        <s v="Massachusetts"/>
        <s v="Michigan"/>
        <s v="New York"/>
        <s v="Ohio"/>
        <s v="Texas"/>
        <s v="Washington"/>
      </sharedItems>
    </cacheField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>
      <fieldsUsage count="2">
        <fieldUsage x="-1"/>
        <fieldUsage x="1"/>
      </fieldsUsage>
    </cacheHierarchy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6967592" backgroundQuery="1" createdVersion="8" refreshedVersion="8" minRefreshableVersion="3" recordCount="0" supportSubquery="1" supportAdvancedDrill="1" xr:uid="{58C832D0-A662-4555-B750-F9FDA69C3B9A}">
  <cacheSource type="external" connectionId="4"/>
  <cacheFields count="1">
    <cacheField name="[Measures].[Sum of Discount]" caption="Sum of Discount" numFmtId="0" hierarchy="36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7199077" backgroundQuery="1" createdVersion="8" refreshedVersion="8" minRefreshableVersion="3" recordCount="0" supportSubquery="1" supportAdvancedDrill="1" xr:uid="{73A1A90F-E0B9-445A-AA3C-F880D94F4BAF}">
  <cacheSource type="external" connectionId="4"/>
  <cacheFields count="1"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7662039" backgroundQuery="1" createdVersion="8" refreshedVersion="8" minRefreshableVersion="3" recordCount="0" supportSubquery="1" supportAdvancedDrill="1" xr:uid="{F157BADB-6F30-4A05-856D-DCD43B8FC02E}">
  <cacheSource type="external" connectionId="4"/>
  <cacheFields count="2">
    <cacheField name="[INVOICES].[City].[City]" caption="City" numFmtId="0" hierarchy="19" level="1">
      <sharedItems count="10">
        <s v="Boston"/>
        <s v="Chicago"/>
        <s v="Detroit"/>
        <s v="Los Angeles"/>
        <s v="Madison"/>
        <s v="Miami"/>
        <s v="New York City"/>
        <s v="Philadelphia"/>
        <s v="Seattle"/>
        <s v="Washington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8240739" backgroundQuery="1" createdVersion="8" refreshedVersion="8" minRefreshableVersion="3" recordCount="0" supportSubquery="1" supportAdvancedDrill="1" xr:uid="{527C3C69-FD99-4DA6-B5DB-074E23012B08}">
  <cacheSource type="external" connectionId="4"/>
  <cacheFields count="2">
    <cacheField name="[Measures].[Sum of Sales]" caption="Sum of Sales" numFmtId="0" hierarchy="35" level="32767"/>
    <cacheField name="[INVOICES].[State or Province].[State or Province]" caption="State or Province" numFmtId="0" hierarchy="18" level="1">
      <sharedItems count="10">
        <s v="California"/>
        <s v="District of Columbia"/>
        <s v="Florida"/>
        <s v="Illinois"/>
        <s v="Massachusetts"/>
        <s v="Michigan"/>
        <s v="New York"/>
        <s v="Ohio"/>
        <s v="Texas"/>
        <s v="Washington"/>
      </sharedItems>
    </cacheField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>
      <fieldsUsage count="2">
        <fieldUsage x="-1"/>
        <fieldUsage x="1"/>
      </fieldsUsage>
    </cacheHierarchy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8472224" backgroundQuery="1" createdVersion="8" refreshedVersion="8" minRefreshableVersion="3" recordCount="0" supportSubquery="1" supportAdvancedDrill="1" xr:uid="{8B27BD2D-FC19-4D97-95E9-51DC0ED96F24}">
  <cacheSource type="external" connectionId="4"/>
  <cacheFields count="1"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2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2" memberValueDatatype="130" unbalanced="0"/>
    <cacheHierarchy uniqueName="[INVOICES].[City]" caption="City" attribute="1" defaultMemberUniqueName="[INVOICES].[City].[All]" allUniqueName="[INVOICES].[City].[All]" dimensionUniqueName="[INVOICES]" displayFolder="" count="2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78.086679745371" backgroundQuery="1" createdVersion="8" refreshedVersion="8" minRefreshableVersion="3" recordCount="0" supportSubquery="1" supportAdvancedDrill="1" xr:uid="{5019A1E1-8F16-4841-93CD-6C22DBD013B9}">
  <cacheSource type="external" connectionId="4"/>
  <cacheFields count="3">
    <cacheField name="[INVOICES].[Customer Name].[Customer Name]" caption="Customer Name" numFmtId="0" hierarchy="8" level="1">
      <sharedItems count="20">
        <s v="Caroline Johnston"/>
        <s v="Lee Xu"/>
        <s v="Neal Wolfe"/>
        <s v="Rosemary O'Brien"/>
        <s v="Toni Swanson"/>
        <s v="Annie Odom"/>
        <s v="Eileen Schwartz"/>
        <s v="Kristine Connolly"/>
        <s v="Scott Bunn"/>
        <s v="Tammy Raynor"/>
        <s v="Don Rogers"/>
        <s v="Erin Ballard"/>
        <s v="Sean N Boyer"/>
        <s v="Tom Hoyle Honeycutt"/>
        <s v="Yvonne Mann"/>
        <s v="Andrew Levine"/>
        <s v="Christopher Meadows"/>
        <s v="Leroy Blanchard"/>
        <s v="Nina Horne Kelly"/>
        <s v="Richard McClure"/>
      </sharedItems>
    </cacheField>
    <cacheField name="[INVOICES].[Customer Segment].[Customer Segment]" caption="Customer Segment" numFmtId="0" hierarchy="10" level="1">
      <sharedItems count="4">
        <s v="Consumer"/>
        <s v="Corporate"/>
        <s v="Home Office"/>
        <s v="Small Business"/>
      </sharedItems>
    </cacheField>
    <cacheField name="[Measures].[Sum of Sales]" caption="Sum of Sales" numFmtId="0" hierarchy="35" level="32767"/>
  </cacheFields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2" memberValueDatatype="130" unbalanced="0">
      <fieldsUsage count="2">
        <fieldUsage x="-1"/>
        <fieldUsage x="0"/>
      </fieldsUsage>
    </cacheHierarchy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2" memberValueDatatype="130" unbalanced="0">
      <fieldsUsage count="2">
        <fieldUsage x="-1"/>
        <fieldUsage x="1"/>
      </fieldsUsage>
    </cacheHierarchy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0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0" memberValueDatatype="130" unbalanced="0"/>
    <cacheHierarchy uniqueName="[INVOICES].[City]" caption="City" attribute="1" defaultMemberUniqueName="[INVOICES].[City].[All]" allUniqueName="[INVOICES].[City].[All]" dimensionUniqueName="[INVOICES]" displayFolder="" count="0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4">
    <dimension name="Area managers" uniqueName="[Area managers]" caption="Area managers"/>
    <dimension name="INVOICES" uniqueName="[INVOICES]" caption="INVOICES"/>
    <dimension measure="1" name="Measures" uniqueName="[Measures]" caption="Measures"/>
    <dimension name="Returns" uniqueName="[Returns]" caption="Returns"/>
  </dimensions>
  <measureGroups count="3">
    <measureGroup name="Area managers" caption="Area managers"/>
    <measureGroup name="INVOICES" caption="INVOICES"/>
    <measureGroup name="Returns" caption="Return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747.642433449073" backgroundQuery="1" createdVersion="3" refreshedVersion="8" minRefreshableVersion="3" recordCount="0" supportSubquery="1" supportAdvancedDrill="1" xr:uid="{C56E4AA0-497D-4223-8808-A1068281C2B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Area managers].[Column1]" caption="Column1" attribute="1" defaultMemberUniqueName="[Area managers].[Column1].[All]" allUniqueName="[Area managers].[Column1].[All]" dimensionUniqueName="[Area managers]" displayFolder="" count="0" memberValueDatatype="130" unbalanced="0"/>
    <cacheHierarchy uniqueName="[Area managers].[Column2]" caption="Column2" attribute="1" defaultMemberUniqueName="[Area managers].[Column2].[All]" allUniqueName="[Area managers].[Column2].[All]" dimensionUniqueName="[Area managers]" displayFolder="" count="0" memberValueDatatype="130" unbalanced="0"/>
    <cacheHierarchy uniqueName="[INVOICES].[Row ID]" caption="Row ID" attribute="1" defaultMemberUniqueName="[INVOICES].[Row ID].[All]" allUniqueName="[INVOICES].[Row ID].[All]" dimensionUniqueName="[INVOICES]" displayFolder="" count="0" memberValueDatatype="20" unbalanced="0"/>
    <cacheHierarchy uniqueName="[INVOICES].[Order Priority]" caption="Order Priority" attribute="1" defaultMemberUniqueName="[INVOICES].[Order Priority].[All]" allUniqueName="[INVOICES].[Order Priority].[All]" dimensionUniqueName="[INVOICES]" displayFolder="" count="0" memberValueDatatype="130" unbalanced="0"/>
    <cacheHierarchy uniqueName="[INVOICES].[Discount]" caption="Discount" attribute="1" defaultMemberUniqueName="[INVOICES].[Discount].[All]" allUniqueName="[INVOICES].[Discount].[All]" dimensionUniqueName="[INVOICES]" displayFolder="" count="0" memberValueDatatype="5" unbalanced="0"/>
    <cacheHierarchy uniqueName="[INVOICES].[Unit Price]" caption="Unit Price" attribute="1" defaultMemberUniqueName="[INVOICES].[Unit Price].[All]" allUniqueName="[INVOICES].[Unit Price].[All]" dimensionUniqueName="[INVOICES]" displayFolder="" count="0" memberValueDatatype="5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memberValueDatatype="5" unbalanced="0"/>
    <cacheHierarchy uniqueName="[INVOICES].[Customer ID]" caption="Customer ID" attribute="1" defaultMemberUniqueName="[INVOICES].[Customer ID].[All]" allUniqueName="[INVOICES].[Customer ID].[All]" dimensionUniqueName="[INVOICES]" displayFolder="" count="0" memberValueDatatype="20" unbalanced="0"/>
    <cacheHierarchy uniqueName="[INVOICES].[Customer Name]" caption="Customer Name" attribute="1" defaultMemberUniqueName="[INVOICES].[Customer Name].[All]" allUniqueName="[INVOICES].[Customer Name].[All]" dimensionUniqueName="[INVOICES]" displayFolder="" count="0" memberValueDatatype="130" unbalanced="0"/>
    <cacheHierarchy uniqueName="[INVOICES].[Ship Mode]" caption="Ship Mode" attribute="1" defaultMemberUniqueName="[INVOICES].[Ship Mode].[All]" allUniqueName="[INVOICES].[Ship Mode].[All]" dimensionUniqueName="[INVOICES]" displayFolder="" count="0" memberValueDatatype="130" unbalanced="0"/>
    <cacheHierarchy uniqueName="[INVOICES].[Customer Segment]" caption="Customer Segment" attribute="1" defaultMemberUniqueName="[INVOICES].[Customer Segment].[All]" allUniqueName="[INVOICES].[Customer Segment].[All]" dimensionUniqueName="[INVOICES]" displayFolder="" count="0" memberValueDatatype="130" unbalanced="0"/>
    <cacheHierarchy uniqueName="[INVOICES].[Product Category]" caption="Product Category" attribute="1" defaultMemberUniqueName="[INVOICES].[Product Category].[All]" allUniqueName="[INVOICES].[Product Category].[All]" dimensionUniqueName="[INVOICES]" displayFolder="" count="0" memberValueDatatype="130" unbalanced="0"/>
    <cacheHierarchy uniqueName="[INVOICES].[Product Sub-Category]" caption="Product Sub-Category" attribute="1" defaultMemberUniqueName="[INVOICES].[Product Sub-Category].[All]" allUniqueName="[INVOICES].[Product Sub-Category].[All]" dimensionUniqueName="[INVOICES]" displayFolder="" count="0" memberValueDatatype="130" unbalanced="0"/>
    <cacheHierarchy uniqueName="[INVOICES].[Product Container]" caption="Product Container" attribute="1" defaultMemberUniqueName="[INVOICES].[Product Container].[All]" allUniqueName="[INVOICES].[Product Container].[All]" dimensionUniqueName="[INVOICES]" displayFolder="" count="0" memberValueDatatype="130" unbalanced="0"/>
    <cacheHierarchy uniqueName="[INVOICES].[Product Name]" caption="Product Name" attribute="1" defaultMemberUniqueName="[INVOICES].[Product Name].[All]" allUniqueName="[INVOICES].[Product Name].[All]" dimensionUniqueName="[INVOICES]" displayFolder="" count="0" memberValueDatatype="130" unbalanced="0"/>
    <cacheHierarchy uniqueName="[INVOICES].[Product Base Margin]" caption="Product Base Margin" attribute="1" defaultMemberUniqueName="[INVOICES].[Product Base Margin].[All]" allUniqueName="[INVOICES].[Product Base Margin].[All]" dimensionUniqueName="[INVOICES]" displayFolder="" count="0" memberValueDatatype="5" unbalanced="0"/>
    <cacheHierarchy uniqueName="[INVOICES].[Country]" caption="Country" attribute="1" defaultMemberUniqueName="[INVOICES].[Country].[All]" allUniqueName="[INVOICES].[Country].[All]" dimensionUniqueName="[INVOICES]" displayFolder="" count="0" memberValueDatatype="130" unbalanced="0"/>
    <cacheHierarchy uniqueName="[INVOICES].[Region]" caption="Region" attribute="1" defaultMemberUniqueName="[INVOICES].[Region].[All]" allUniqueName="[INVOICES].[Region].[All]" dimensionUniqueName="[INVOICES]" displayFolder="" count="0" memberValueDatatype="130" unbalanced="0"/>
    <cacheHierarchy uniqueName="[INVOICES].[State or Province]" caption="State or Province" attribute="1" defaultMemberUniqueName="[INVOICES].[State or Province].[All]" allUniqueName="[INVOICES].[State or Province].[All]" dimensionUniqueName="[INVOICES]" displayFolder="" count="0" memberValueDatatype="130" unbalanced="0"/>
    <cacheHierarchy uniqueName="[INVOICES].[City]" caption="City" attribute="1" defaultMemberUniqueName="[INVOICES].[City].[All]" allUniqueName="[INVOICES].[City].[All]" dimensionUniqueName="[INVOICES]" displayFolder="" count="0" memberValueDatatype="130" unbalanced="0"/>
    <cacheHierarchy uniqueName="[INVOICES].[Postal Code]" caption="Postal Code" attribute="1" defaultMemberUniqueName="[INVOICES].[Postal Code].[All]" allUniqueName="[INVOICES].[Postal Code].[All]" dimensionUniqueName="[INVOICES]" displayFolder="" count="0" memberValueDatatype="20" unbalanced="0"/>
    <cacheHierarchy uniqueName="[INVOICES].[Order Date]" caption="Order Date" attribute="1" time="1" defaultMemberUniqueName="[INVOICES].[Order Date].[All]" allUniqueName="[INVOICES].[Order Date].[All]" dimensionUniqueName="[INVOICES]" displayFolder="" count="2" memberValueDatatype="7" unbalanced="0"/>
    <cacheHierarchy uniqueName="[INVOICES].[Ship Date]" caption="Ship Date" attribute="1" defaultMemberUniqueName="[INVOICES].[Ship Date].[All]" allUniqueName="[INVOICES].[Ship Date].[All]" dimensionUniqueName="[INVOICES]" displayFolder="" count="0" memberValueDatatype="20" unbalanced="0"/>
    <cacheHierarchy uniqueName="[INVOICES].[Profit]" caption="Profit" attribute="1" defaultMemberUniqueName="[INVOICES].[Profit].[All]" allUniqueName="[INVOICES].[Profit].[All]" dimensionUniqueName="[INVOICES]" displayFolder="" count="0" memberValueDatatype="5" unbalanced="0"/>
    <cacheHierarchy uniqueName="[INVOICES].[Quantity ordered new]" caption="Quantity ordered new" attribute="1" defaultMemberUniqueName="[INVOICES].[Quantity ordered new].[All]" allUniqueName="[INVOICES].[Quantity ordered new].[All]" dimensionUniqueName="[INVOICES]" displayFolder="" count="0" memberValueDatatype="20" unbalanced="0"/>
    <cacheHierarchy uniqueName="[INVOICES].[Sales]" caption="Sales" attribute="1" defaultMemberUniqueName="[INVOICES].[Sales].[All]" allUniqueName="[INVOICES].[Sales].[All]" dimensionUniqueName="[INVOICES]" displayFolder="" count="0" memberValueDatatype="5" unbalanced="0"/>
    <cacheHierarchy uniqueName="[INVOICES].[Order ID]" caption="Order ID" attribute="1" defaultMemberUniqueName="[INVOICES].[Order ID].[All]" allUniqueName="[INVOICES].[Order ID].[All]" dimensionUniqueName="[INVOICES]" displayFolder="" count="0" memberValueDatatype="20" unbalanced="0"/>
    <cacheHierarchy uniqueName="[INVOICES].[Order Date (Month)]" caption="Order Date (Month)" attribute="1" defaultMemberUniqueName="[INVOICES].[Order Date (Month)].[All]" allUniqueName="[INVOICES].[Order Date (Month)].[All]" dimensionUniqueName="[INVOICE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INVOICES].[Order Date (Month Index)]" caption="Order Date (Month Index)" attribute="1" defaultMemberUniqueName="[INVOICES].[Order Date (Month Index)].[All]" allUniqueName="[INVOICES].[Order Date (Month Index)].[All]" dimensionUniqueName="[INVOICES]" displayFolder="" count="0" memberValueDatatype="20" unbalanced="0" hidden="1"/>
    <cacheHierarchy uniqueName="[Measures].[__XL_Count Returns]" caption="__XL_Count Returns" measure="1" displayFolder="" measureGroup="Returns" count="0" hidden="1"/>
    <cacheHierarchy uniqueName="[Measures].[__XL_Count INVOICES]" caption="__XL_Count INVOICES" measure="1" displayFolder="" measureGroup="INVOICES" count="0" hidden="1"/>
    <cacheHierarchy uniqueName="[Measures].[__XL_Count Area managers]" caption="__XL_Count Area managers" measure="1" displayFolder="" measureGroup="Area manag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INVOIC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iscount]" caption="Sum of Discount" measure="1" displayFolder="" measureGroup="INVOI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tus]" caption="Count of Status" measure="1" displayFolder="" measureGroup="Return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0996232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711FB-7656-4EED-9194-BBED358989FF}" name="PivotTable8" cacheId="6" applyNumberFormats="0" applyBorderFormats="0" applyFontFormats="0" applyPatternFormats="0" applyAlignmentFormats="0" applyWidthHeightFormats="1" dataCaption="Values" tag="5d88d8f6-1439-4fca-8495-33fb072aebfe" updatedVersion="8" minRefreshableVersion="5" useAutoFormatting="1" subtotalHiddenItems="1" itemPrintTitles="1" createdVersion="8" indent="0" outline="1" outlineData="1" multipleFieldFilters="0" chartFormat="3">
  <location ref="V4:W15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8C27A-B5CE-49B8-8969-0F747B7D20B3}" name="PivotTable4" cacheId="5" applyNumberFormats="0" applyBorderFormats="0" applyFontFormats="0" applyPatternFormats="0" applyAlignmentFormats="0" applyWidthHeightFormats="1" dataCaption="Values" tag="d847bc53-afa1-459f-8b3f-216ca81f6bd2" updatedVersion="8" minRefreshableVersion="5" useAutoFormatting="1" subtotalHiddenItems="1" itemPrintTitles="1" createdVersion="8" indent="0" outline="1" outlineData="1" multipleFieldFilters="0">
  <location ref="K4:K18" firstHeaderRow="1" firstDataRow="1" firstDataCol="1"/>
  <pivotFields count="1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F75D1-DA00-43B0-B243-CD76873370E0}" name="REGION" cacheId="7" applyNumberFormats="0" applyBorderFormats="0" applyFontFormats="0" applyPatternFormats="0" applyAlignmentFormats="0" applyWidthHeightFormats="1" dataCaption="Values" tag="bcbf8569-0d0a-49b0-8e73-178c6e3d2550" updatedVersion="8" minRefreshableVersion="5" useAutoFormatting="1" subtotalHiddenItems="1" itemPrintTitles="1" createdVersion="8" indent="0" outline="1" outlineData="1" multipleFieldFilters="0" chartFormat="16" rowHeaderCaption="REGION">
  <location ref="H4:I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3"/>
        <item x="2"/>
        <item x="1"/>
        <item x="0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  <x15:activeTabTopLevelEntity name="[Area manag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4021-DB63-45DA-9A7D-B4EBDC6917CC}" name="TOTAL SALES" cacheId="10" applyNumberFormats="0" applyBorderFormats="0" applyFontFormats="0" applyPatternFormats="0" applyAlignmentFormats="0" applyWidthHeightFormats="1" dataCaption="Values" tag="96725932-ac2b-455e-8db4-b883a6d03f24" updatedVersion="8" minRefreshableVersion="5" useAutoFormatting="1" subtotalHiddenItems="1" itemPrintTitles="1" createdVersion="8" indent="0" outline="1" outlineData="1" multipleFieldFilters="0">
  <location ref="AB5:AB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7027F-EE72-4413-925A-4820887ABD6F}" name="CUSTOMER SEGMENT" cacheId="2" applyNumberFormats="0" applyBorderFormats="0" applyFontFormats="0" applyPatternFormats="0" applyAlignmentFormats="0" applyWidthHeightFormats="1" dataCaption="Values" tag="0ac939e0-9592-48b8-9d1a-9b125ba84225" updatedVersion="8" minRefreshableVersion="5" useAutoFormatting="1" subtotalHiddenItems="1" itemPrintTitles="1" createdVersion="8" indent="0" outline="1" outlineData="1" multipleFieldFilters="0" chartFormat="5" rowHeaderCaption="CUSOMER SEGMENT">
  <location ref="P4:Q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046DB-342A-4157-8676-1920BCA7CB18}" name="CATEGORY AND SUB" cacheId="0" applyNumberFormats="0" applyBorderFormats="0" applyFontFormats="0" applyPatternFormats="0" applyAlignmentFormats="0" applyWidthHeightFormats="1" dataCaption="Values" tag="fad16f97-4cef-4c05-9477-5fd4d6e48f3b" updatedVersion="8" minRefreshableVersion="5" useAutoFormatting="1" subtotalHiddenItems="1" itemPrintTitles="1" createdVersion="8" indent="0" outline="1" outlineData="1" multipleFieldFilters="0" chartFormat="9">
  <location ref="M4:N25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 of 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rea managers]"/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95239-F768-485D-8CD4-B71F28FACA45}" name="PivotTable1" cacheId="4" applyNumberFormats="0" applyBorderFormats="0" applyFontFormats="0" applyPatternFormats="0" applyAlignmentFormats="0" applyWidthHeightFormats="1" dataCaption="Values" tag="65e622ce-916b-4234-9dae-460d8d5ea01f" updatedVersion="8" minRefreshableVersion="5" useAutoFormatting="1" subtotalHiddenItems="1" itemPrintTitles="1" createdVersion="8" indent="0" outline="1" outlineData="1" multipleFieldFilters="0" chartFormat="16" rowHeaderCaption="CITY">
  <location ref="B4:C15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28475-A40E-466C-A7AB-A9695633373E}" name="PivotTable2" cacheId="11" applyNumberFormats="0" applyBorderFormats="0" applyFontFormats="0" applyPatternFormats="0" applyAlignmentFormats="0" applyWidthHeightFormats="1" dataCaption="Values" tag="65e622ce-916b-4234-9dae-460d8d5ea01f" updatedVersion="8" minRefreshableVersion="5" useAutoFormatting="1" subtotalHiddenItems="1" itemPrintTitles="1" createdVersion="8" indent="0" outline="1" outlineData="1" multipleFieldFilters="0" chartFormat="24" rowHeaderCaption="CITY">
  <location ref="B23:C3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CD846-EC3A-45DA-86E4-756F4E1D4EE0}" name="SUM OF DISCOUNT " cacheId="9" applyNumberFormats="0" applyBorderFormats="0" applyFontFormats="0" applyPatternFormats="0" applyAlignmentFormats="0" applyWidthHeightFormats="1" dataCaption="Values" tag="2ee9dc44-5436-449b-8636-ca08d2c86a9f" updatedVersion="8" minRefreshableVersion="5" useAutoFormatting="1" subtotalHiddenItems="1" itemPrintTitles="1" createdVersion="8" indent="0" outline="1" outlineData="1" multipleFieldFilters="0">
  <location ref="AB25:AB2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Discount" fld="0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  <x15:activeTabTopLevelEntity name="[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314F9-A7C0-43C4-AEAD-0885BDAEA367}" name="PivotTable9" cacheId="14" applyNumberFormats="0" applyBorderFormats="0" applyFontFormats="0" applyPatternFormats="0" applyAlignmentFormats="0" applyWidthHeightFormats="1" dataCaption="Values" tag="b4802ad4-7b77-4fd4-b6ac-4e78252cce9b" updatedVersion="8" minRefreshableVersion="5" useAutoFormatting="1" subtotalHiddenItems="1" itemPrintTitles="1" createdVersion="8" indent="0" outline="1" outlineData="1" multipleFieldFilters="0" chartFormat="18">
  <location ref="Y4:Z29" firstHeaderRow="1" firstDataRow="1" firstDataCol="1"/>
  <pivotFields count="3">
    <pivotField axis="axisRow" allDrilled="1" subtotalTop="0" showAll="0" measureFilter="1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measureFilter="1" sortType="descending" defaultSubtotal="0" defaultAttributeDrillState="1">
      <items count="4">
        <item x="3"/>
        <item x="2"/>
        <item x="1"/>
        <item x="0"/>
      </items>
    </pivotField>
    <pivotField dataField="1" subtotalTop="0" showAll="0" defaultSubtotal="0"/>
  </pivotFields>
  <rowFields count="2">
    <field x="1"/>
    <field x="0"/>
  </rowFields>
  <rowItems count="25">
    <i>
      <x/>
    </i>
    <i r="1">
      <x v="15"/>
    </i>
    <i r="1">
      <x v="16"/>
    </i>
    <i r="1">
      <x v="17"/>
    </i>
    <i r="1">
      <x v="18"/>
    </i>
    <i r="1">
      <x v="19"/>
    </i>
    <i>
      <x v="1"/>
    </i>
    <i r="1">
      <x v="10"/>
    </i>
    <i r="1">
      <x v="11"/>
    </i>
    <i r="1">
      <x v="12"/>
    </i>
    <i r="1">
      <x v="13"/>
    </i>
    <i r="1">
      <x v="14"/>
    </i>
    <i>
      <x v="2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1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6" iMeasureHier="35">
      <autoFilter ref="A1">
        <filterColumn colId="0">
          <top10 val="5" filterVal="5"/>
        </filterColumn>
      </autoFilter>
    </filter>
    <filter fld="1" type="count" evalOrder="1" id="15" iMeasureHier="35">
      <autoFilter ref="A1">
        <filterColumn colId="0">
          <top10 val="5" filterVal="5"/>
        </filterColumn>
      </autoFilter>
    </filter>
  </filters>
  <rowHierarchiesUsage count="2">
    <rowHierarchyUsage hierarchyUsage="10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67F53-C226-4462-82FA-7AEC3A9AE843}" name="PivotTable5" cacheId="12" applyNumberFormats="0" applyBorderFormats="0" applyFontFormats="0" applyPatternFormats="0" applyAlignmentFormats="0" applyWidthHeightFormats="1" dataCaption="Values" tag="07aa1631-080e-4f09-93f1-fb65d5692037" updatedVersion="8" minRefreshableVersion="5" useAutoFormatting="1" subtotalHiddenItems="1" itemPrintTitles="1" createdVersion="8" indent="0" outline="1" outlineData="1" multipleFieldFilters="0" chartFormat="12" rowHeaderCaption="STATE">
  <location ref="E37:F48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14129-732D-441C-8AE6-5489329E5570}" name="STATE" cacheId="8" applyNumberFormats="0" applyBorderFormats="0" applyFontFormats="0" applyPatternFormats="0" applyAlignmentFormats="0" applyWidthHeightFormats="1" dataCaption="Values" tag="07aa1631-080e-4f09-93f1-fb65d5692037" updatedVersion="8" minRefreshableVersion="5" useAutoFormatting="1" subtotalHiddenItems="1" itemPrintTitles="1" createdVersion="8" indent="0" outline="1" outlineData="1" multipleFieldFilters="0" chartFormat="5" rowHeaderCaption="STATE">
  <location ref="E4:F15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241F2-3558-4570-96C7-2CF80468ED8C}" name="PivotTable7" cacheId="13" applyNumberFormats="0" applyBorderFormats="0" applyFontFormats="0" applyPatternFormats="0" applyAlignmentFormats="0" applyWidthHeightFormats="1" dataCaption="Values" tag="96725932-ac2b-455e-8db4-b883a6d03f24" updatedVersion="8" minRefreshableVersion="5" useAutoFormatting="1" subtotalHiddenItems="1" itemPrintTitles="1" createdVersion="8" indent="0" outline="1" outlineData="1" multipleFieldFilters="0">
  <location ref="AC5:AC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6E145-114A-4AAE-B463-D97AC322A92B}" name="DATE " cacheId="3" applyNumberFormats="0" applyBorderFormats="0" applyFontFormats="0" applyPatternFormats="0" applyAlignmentFormats="0" applyWidthHeightFormats="1" dataCaption="Values" tag="a6c99beb-b58c-4617-a6e8-7b4d7c27b641" updatedVersion="8" minRefreshableVersion="5" useAutoFormatting="1" subtotalHiddenItems="1" itemPrintTitles="1" createdVersion="8" indent="0" outline="1" outlineData="1" multipleFieldFilters="0" chartFormat="10" rowHeaderCaption="DATE">
  <location ref="S4:T11" firstHeaderRow="1" firstDataRow="1" firstDataCol="1"/>
  <pivotFields count="3">
    <pivotField axis="axisRow" allDrilled="1" subtotalTop="0" showAll="0" dataSourceSort="1" defaultSubtotal="0" defaultAttributeDrillState="1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29C6B-283E-4B36-BC0E-C79739FFE60F}" name="COUNT OF RETURNS" cacheId="1" applyNumberFormats="0" applyBorderFormats="0" applyFontFormats="0" applyPatternFormats="0" applyAlignmentFormats="0" applyWidthHeightFormats="1" dataCaption="Values" tag="e56d365c-ee21-495b-a8d8-b1754f93b3de" updatedVersion="8" minRefreshableVersion="5" useAutoFormatting="1" subtotalHiddenItems="1" itemPrintTitles="1" createdVersion="8" indent="0" outline="1" outlineData="1" multipleFieldFilters="0">
  <location ref="AB16:AB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tatus"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S]"/>
        <x15:activeTabTopLevelEntity name="[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EBFFB64D-EE04-4ECB-A4A5-FA082465D54C}" sourceName="[INVOICES].[Order Date]">
  <pivotTables>
    <pivotTable tabId="1" name="CATEGORY AND SUB"/>
    <pivotTable tabId="1" name="COUNT OF RETURNS"/>
    <pivotTable tabId="1" name="CUSTOMER SEGMENT"/>
    <pivotTable tabId="1" name="DATE "/>
    <pivotTable tabId="1" name="PivotTable1"/>
    <pivotTable tabId="1" name="PivotTable4"/>
    <pivotTable tabId="1" name="PivotTable8"/>
    <pivotTable tabId="1" name="REGION"/>
    <pivotTable tabId="1" name="STATE"/>
    <pivotTable tabId="1" name="SUM OF DISCOUNT "/>
    <pivotTable tabId="1" name="TOTAL SALES"/>
    <pivotTable tabId="1" name="PivotTable2"/>
    <pivotTable tabId="1" name="PivotTable5"/>
    <pivotTable tabId="1" name="PivotTable7"/>
    <pivotTable tabId="1" name="PivotTable9"/>
  </pivotTables>
  <state minimalRefreshVersion="6" lastRefreshVersion="6" pivotCacheId="2099623211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57B42E4D-F8E0-40C7-93FD-147C069366FF}" cache="Timeline_Order_Date" caption="Order Date" showHorizontalScrollbar="0" level="2" selectionLevel="1" scrollPosition="2015-04-27T00:00:00" style="TimeSlicerStyleLight4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48"/>
  <sheetViews>
    <sheetView rightToLeft="1" topLeftCell="T1" workbookViewId="0">
      <selection activeCell="AD17" sqref="AD17"/>
    </sheetView>
  </sheetViews>
  <sheetFormatPr defaultRowHeight="14.4" x14ac:dyDescent="0.3"/>
  <cols>
    <col min="2" max="2" width="12.44140625" bestFit="1" customWidth="1"/>
    <col min="3" max="3" width="11.6640625" bestFit="1" customWidth="1"/>
    <col min="5" max="5" width="17.33203125" bestFit="1" customWidth="1"/>
    <col min="6" max="6" width="11.6640625" bestFit="1" customWidth="1"/>
    <col min="8" max="8" width="10.77734375" bestFit="1" customWidth="1"/>
    <col min="9" max="9" width="11.6640625" bestFit="1" customWidth="1"/>
    <col min="11" max="11" width="12.5546875" bestFit="1" customWidth="1"/>
    <col min="12" max="12" width="15.5546875" bestFit="1" customWidth="1"/>
    <col min="13" max="13" width="31.5546875" bestFit="1" customWidth="1"/>
    <col min="14" max="14" width="11.6640625" bestFit="1" customWidth="1"/>
    <col min="15" max="15" width="5" bestFit="1" customWidth="1"/>
    <col min="16" max="16" width="20.88671875" bestFit="1" customWidth="1"/>
    <col min="17" max="17" width="11.6640625" bestFit="1" customWidth="1"/>
    <col min="18" max="18" width="5" bestFit="1" customWidth="1"/>
    <col min="19" max="19" width="10.77734375" bestFit="1" customWidth="1"/>
    <col min="20" max="20" width="11.6640625" bestFit="1" customWidth="1"/>
    <col min="21" max="21" width="9" bestFit="1" customWidth="1"/>
    <col min="22" max="22" width="69.6640625" bestFit="1" customWidth="1"/>
    <col min="23" max="23" width="11.6640625" bestFit="1" customWidth="1"/>
    <col min="24" max="24" width="9" bestFit="1" customWidth="1"/>
    <col min="25" max="25" width="23.109375" bestFit="1" customWidth="1"/>
    <col min="26" max="26" width="11.6640625" bestFit="1" customWidth="1"/>
    <col min="27" max="27" width="8.77734375" bestFit="1" customWidth="1"/>
    <col min="28" max="29" width="11.6640625" bestFit="1" customWidth="1"/>
    <col min="30" max="50" width="9.77734375" bestFit="1" customWidth="1"/>
    <col min="51" max="51" width="8.77734375" bestFit="1" customWidth="1"/>
    <col min="52" max="52" width="9" bestFit="1" customWidth="1"/>
    <col min="53" max="54" width="8.77734375" bestFit="1" customWidth="1"/>
    <col min="55" max="55" width="9" bestFit="1" customWidth="1"/>
    <col min="56" max="59" width="8.77734375" bestFit="1" customWidth="1"/>
    <col min="60" max="78" width="9.77734375" bestFit="1" customWidth="1"/>
    <col min="79" max="79" width="9" bestFit="1" customWidth="1"/>
    <col min="80" max="81" width="8.77734375" bestFit="1" customWidth="1"/>
    <col min="82" max="82" width="9" bestFit="1" customWidth="1"/>
    <col min="83" max="87" width="8.77734375" bestFit="1" customWidth="1"/>
    <col min="88" max="109" width="9.77734375" bestFit="1" customWidth="1"/>
    <col min="110" max="111" width="8.77734375" bestFit="1" customWidth="1"/>
    <col min="112" max="115" width="9" bestFit="1" customWidth="1"/>
    <col min="116" max="116" width="8.77734375" bestFit="1" customWidth="1"/>
    <col min="117" max="117" width="9" bestFit="1" customWidth="1"/>
    <col min="118" max="138" width="9.77734375" bestFit="1" customWidth="1"/>
    <col min="139" max="139" width="8.77734375" bestFit="1" customWidth="1"/>
    <col min="140" max="143" width="9" bestFit="1" customWidth="1"/>
    <col min="144" max="147" width="8.77734375" bestFit="1" customWidth="1"/>
    <col min="148" max="168" width="9.77734375" bestFit="1" customWidth="1"/>
    <col min="169" max="170" width="8.77734375" bestFit="1" customWidth="1"/>
    <col min="171" max="171" width="9" bestFit="1" customWidth="1"/>
    <col min="172" max="172" width="8.77734375" bestFit="1" customWidth="1"/>
    <col min="173" max="175" width="9" bestFit="1" customWidth="1"/>
    <col min="176" max="177" width="8.77734375" bestFit="1" customWidth="1"/>
    <col min="178" max="198" width="9.77734375" bestFit="1" customWidth="1"/>
    <col min="199" max="199" width="10.77734375" bestFit="1" customWidth="1"/>
  </cols>
  <sheetData>
    <row r="1" spans="2:29" x14ac:dyDescent="0.3">
      <c r="K1" s="4" t="s">
        <v>30</v>
      </c>
    </row>
    <row r="2" spans="2:29" x14ac:dyDescent="0.3">
      <c r="K2" s="4"/>
    </row>
    <row r="3" spans="2:29" x14ac:dyDescent="0.3">
      <c r="K3" s="4"/>
    </row>
    <row r="4" spans="2:29" x14ac:dyDescent="0.3">
      <c r="B4" s="1" t="s">
        <v>12</v>
      </c>
      <c r="C4" t="s">
        <v>13</v>
      </c>
      <c r="E4" s="1" t="s">
        <v>23</v>
      </c>
      <c r="F4" t="s">
        <v>13</v>
      </c>
      <c r="H4" s="1" t="s">
        <v>28</v>
      </c>
      <c r="I4" t="s">
        <v>13</v>
      </c>
      <c r="K4" s="1" t="s">
        <v>0</v>
      </c>
      <c r="M4" s="1" t="s">
        <v>0</v>
      </c>
      <c r="N4" t="s">
        <v>13</v>
      </c>
      <c r="P4" s="1" t="s">
        <v>73</v>
      </c>
      <c r="Q4" t="s">
        <v>13</v>
      </c>
      <c r="S4" s="1" t="s">
        <v>72</v>
      </c>
      <c r="T4" t="s">
        <v>13</v>
      </c>
      <c r="V4" s="1" t="s">
        <v>0</v>
      </c>
      <c r="W4" t="s">
        <v>13</v>
      </c>
      <c r="Y4" s="1" t="s">
        <v>0</v>
      </c>
      <c r="Z4" t="s">
        <v>13</v>
      </c>
    </row>
    <row r="5" spans="2:29" x14ac:dyDescent="0.3">
      <c r="B5" s="2" t="s">
        <v>1</v>
      </c>
      <c r="C5">
        <v>60395.39</v>
      </c>
      <c r="E5" s="2" t="s">
        <v>14</v>
      </c>
      <c r="F5">
        <v>288240.87</v>
      </c>
      <c r="H5" s="2" t="s">
        <v>27</v>
      </c>
      <c r="I5">
        <v>526884.81999999995</v>
      </c>
      <c r="K5" s="2">
        <v>0</v>
      </c>
      <c r="M5" s="2" t="s">
        <v>31</v>
      </c>
      <c r="P5" s="2" t="s">
        <v>51</v>
      </c>
      <c r="Q5">
        <v>414971.34</v>
      </c>
      <c r="S5" s="2" t="s">
        <v>55</v>
      </c>
      <c r="T5">
        <v>274796.42</v>
      </c>
      <c r="V5" s="2" t="s">
        <v>61</v>
      </c>
      <c r="W5">
        <v>27330.240000000002</v>
      </c>
      <c r="Y5" s="2" t="s">
        <v>54</v>
      </c>
      <c r="AB5" t="s">
        <v>13</v>
      </c>
      <c r="AC5" t="s">
        <v>13</v>
      </c>
    </row>
    <row r="6" spans="2:29" x14ac:dyDescent="0.3">
      <c r="B6" s="2" t="s">
        <v>2</v>
      </c>
      <c r="C6">
        <v>22958</v>
      </c>
      <c r="E6" s="2" t="s">
        <v>15</v>
      </c>
      <c r="F6">
        <v>68946.66</v>
      </c>
      <c r="H6" s="2" t="s">
        <v>26</v>
      </c>
      <c r="I6">
        <v>357105.12</v>
      </c>
      <c r="K6" s="2">
        <v>0.01</v>
      </c>
      <c r="M6" s="3" t="s">
        <v>34</v>
      </c>
      <c r="N6">
        <v>119697.3</v>
      </c>
      <c r="P6" s="2" t="s">
        <v>52</v>
      </c>
      <c r="Q6">
        <v>657784.53</v>
      </c>
      <c r="S6" s="2" t="s">
        <v>56</v>
      </c>
      <c r="T6">
        <v>326101.46999999997</v>
      </c>
      <c r="V6" s="2" t="s">
        <v>62</v>
      </c>
      <c r="W6">
        <v>35607.279999999999</v>
      </c>
      <c r="Y6" s="3" t="s">
        <v>89</v>
      </c>
      <c r="Z6">
        <v>16792.21</v>
      </c>
      <c r="AB6">
        <v>1937639.1</v>
      </c>
      <c r="AC6">
        <v>1937639.1</v>
      </c>
    </row>
    <row r="7" spans="2:29" x14ac:dyDescent="0.3">
      <c r="B7" s="2" t="s">
        <v>3</v>
      </c>
      <c r="C7">
        <v>29451.26</v>
      </c>
      <c r="E7" s="2" t="s">
        <v>16</v>
      </c>
      <c r="F7">
        <v>87651.11</v>
      </c>
      <c r="H7" s="2" t="s">
        <v>25</v>
      </c>
      <c r="I7">
        <v>605364.46</v>
      </c>
      <c r="K7" s="2">
        <v>0.02</v>
      </c>
      <c r="M7" s="3" t="s">
        <v>35</v>
      </c>
      <c r="N7">
        <v>261072.73</v>
      </c>
      <c r="P7" s="2" t="s">
        <v>53</v>
      </c>
      <c r="Q7">
        <v>464589.29</v>
      </c>
      <c r="S7" s="2" t="s">
        <v>57</v>
      </c>
      <c r="T7">
        <v>271696.67</v>
      </c>
      <c r="V7" s="2" t="s">
        <v>63</v>
      </c>
      <c r="W7">
        <v>69013.48</v>
      </c>
      <c r="Y7" s="3" t="s">
        <v>90</v>
      </c>
      <c r="Z7">
        <v>15224.63</v>
      </c>
      <c r="AB7">
        <f>GETPIVOTDATA("[Measures].[Sum of Sales]",$AB$5)</f>
        <v>1937639.1</v>
      </c>
      <c r="AC7">
        <f>GETPIVOTDATA("[Measures].[Sum of Sales]",$AB$5)</f>
        <v>1937639.1</v>
      </c>
    </row>
    <row r="8" spans="2:29" x14ac:dyDescent="0.3">
      <c r="B8" s="2" t="s">
        <v>4</v>
      </c>
      <c r="C8">
        <v>154806.10999999999</v>
      </c>
      <c r="E8" s="2" t="s">
        <v>17</v>
      </c>
      <c r="F8">
        <v>98971.25</v>
      </c>
      <c r="H8" s="2" t="s">
        <v>24</v>
      </c>
      <c r="I8">
        <v>448284.7</v>
      </c>
      <c r="K8" s="2">
        <v>0.03</v>
      </c>
      <c r="M8" s="3" t="s">
        <v>36</v>
      </c>
      <c r="N8">
        <v>98070.91</v>
      </c>
      <c r="P8" s="2" t="s">
        <v>54</v>
      </c>
      <c r="Q8">
        <v>400293.94</v>
      </c>
      <c r="S8" s="2" t="s">
        <v>58</v>
      </c>
      <c r="T8">
        <v>401811.91</v>
      </c>
      <c r="V8" s="2" t="s">
        <v>64</v>
      </c>
      <c r="W8">
        <v>50871.21</v>
      </c>
      <c r="Y8" s="3" t="s">
        <v>91</v>
      </c>
      <c r="Z8">
        <v>12599.55</v>
      </c>
    </row>
    <row r="9" spans="2:29" x14ac:dyDescent="0.3">
      <c r="B9" s="2" t="s">
        <v>5</v>
      </c>
      <c r="C9">
        <v>20974.45</v>
      </c>
      <c r="E9" s="2" t="s">
        <v>18</v>
      </c>
      <c r="F9">
        <v>69855.39</v>
      </c>
      <c r="H9" s="2" t="s">
        <v>11</v>
      </c>
      <c r="I9">
        <v>1937639.1</v>
      </c>
      <c r="K9" s="2">
        <v>0.04</v>
      </c>
      <c r="M9" s="3" t="s">
        <v>37</v>
      </c>
      <c r="N9">
        <v>193764.58</v>
      </c>
      <c r="P9" s="2" t="s">
        <v>11</v>
      </c>
      <c r="Q9">
        <v>1937639.1</v>
      </c>
      <c r="S9" s="2" t="s">
        <v>59</v>
      </c>
      <c r="T9">
        <v>306572.07</v>
      </c>
      <c r="V9" s="2" t="s">
        <v>65</v>
      </c>
      <c r="W9">
        <v>22554.43</v>
      </c>
      <c r="Y9" s="3" t="s">
        <v>92</v>
      </c>
      <c r="Z9">
        <v>48295.12</v>
      </c>
    </row>
    <row r="10" spans="2:29" x14ac:dyDescent="0.3">
      <c r="B10" s="2" t="s">
        <v>6</v>
      </c>
      <c r="C10">
        <v>19266.400000000001</v>
      </c>
      <c r="E10" s="2" t="s">
        <v>19</v>
      </c>
      <c r="F10">
        <v>69641.81</v>
      </c>
      <c r="K10" s="2">
        <v>0.05</v>
      </c>
      <c r="M10" s="2" t="s">
        <v>32</v>
      </c>
      <c r="S10" s="2" t="s">
        <v>60</v>
      </c>
      <c r="T10">
        <v>356660.56</v>
      </c>
      <c r="V10" s="2" t="s">
        <v>66</v>
      </c>
      <c r="W10">
        <v>61071.73</v>
      </c>
      <c r="Y10" s="3" t="s">
        <v>93</v>
      </c>
      <c r="Z10">
        <v>15269.7</v>
      </c>
    </row>
    <row r="11" spans="2:29" x14ac:dyDescent="0.3">
      <c r="B11" s="2" t="s">
        <v>7</v>
      </c>
      <c r="C11">
        <v>144717.48000000001</v>
      </c>
      <c r="E11" s="2" t="s">
        <v>20</v>
      </c>
      <c r="F11">
        <v>223532.15</v>
      </c>
      <c r="K11" s="2">
        <v>0.06</v>
      </c>
      <c r="M11" s="3" t="s">
        <v>38</v>
      </c>
      <c r="N11">
        <v>82201.149999999994</v>
      </c>
      <c r="S11" s="2" t="s">
        <v>11</v>
      </c>
      <c r="T11">
        <v>1937639.1</v>
      </c>
      <c r="V11" s="2" t="s">
        <v>67</v>
      </c>
      <c r="W11">
        <v>47611.09</v>
      </c>
      <c r="Y11" s="2" t="s">
        <v>53</v>
      </c>
    </row>
    <row r="12" spans="2:29" x14ac:dyDescent="0.3">
      <c r="B12" s="2" t="s">
        <v>8</v>
      </c>
      <c r="C12">
        <v>28442.95</v>
      </c>
      <c r="E12" s="2" t="s">
        <v>21</v>
      </c>
      <c r="F12">
        <v>69452.820000000007</v>
      </c>
      <c r="K12" s="2">
        <v>7.0000000000000007E-2</v>
      </c>
      <c r="M12" s="3" t="s">
        <v>39</v>
      </c>
      <c r="N12">
        <v>185986.58</v>
      </c>
      <c r="V12" s="2" t="s">
        <v>68</v>
      </c>
      <c r="W12">
        <v>46538.69</v>
      </c>
      <c r="Y12" s="3" t="s">
        <v>84</v>
      </c>
      <c r="Z12">
        <v>13831.16</v>
      </c>
    </row>
    <row r="13" spans="2:29" x14ac:dyDescent="0.3">
      <c r="B13" s="2" t="s">
        <v>9</v>
      </c>
      <c r="C13">
        <v>38437.769999999997</v>
      </c>
      <c r="E13" s="2" t="s">
        <v>22</v>
      </c>
      <c r="F13">
        <v>93082.73</v>
      </c>
      <c r="K13" s="2">
        <v>0.08</v>
      </c>
      <c r="M13" s="3" t="s">
        <v>40</v>
      </c>
      <c r="N13">
        <v>10479.77</v>
      </c>
      <c r="V13" s="2" t="s">
        <v>69</v>
      </c>
      <c r="W13">
        <v>21253.25</v>
      </c>
      <c r="Y13" s="3" t="s">
        <v>85</v>
      </c>
      <c r="Z13">
        <v>20565.990000000002</v>
      </c>
    </row>
    <row r="14" spans="2:29" x14ac:dyDescent="0.3">
      <c r="B14" s="2" t="s">
        <v>10</v>
      </c>
      <c r="C14">
        <v>68946.66</v>
      </c>
      <c r="E14" s="2" t="s">
        <v>10</v>
      </c>
      <c r="F14">
        <v>83468.06</v>
      </c>
      <c r="K14" s="2">
        <v>0.09</v>
      </c>
      <c r="M14" s="3" t="s">
        <v>41</v>
      </c>
      <c r="N14">
        <v>4973.1499999999996</v>
      </c>
      <c r="V14" s="2" t="s">
        <v>70</v>
      </c>
      <c r="W14">
        <v>23995.11</v>
      </c>
      <c r="Y14" s="3" t="s">
        <v>86</v>
      </c>
      <c r="Z14">
        <v>13096.32</v>
      </c>
    </row>
    <row r="15" spans="2:29" x14ac:dyDescent="0.3">
      <c r="B15" s="2" t="s">
        <v>11</v>
      </c>
      <c r="C15">
        <v>588396.47</v>
      </c>
      <c r="E15" s="2" t="s">
        <v>11</v>
      </c>
      <c r="F15">
        <v>1152842.8500000001</v>
      </c>
      <c r="K15" s="2">
        <v>0.1</v>
      </c>
      <c r="M15" s="3" t="s">
        <v>42</v>
      </c>
      <c r="N15">
        <v>55834.34</v>
      </c>
      <c r="V15" s="2" t="s">
        <v>11</v>
      </c>
      <c r="W15">
        <v>405846.51</v>
      </c>
      <c r="Y15" s="3" t="s">
        <v>87</v>
      </c>
      <c r="Z15">
        <v>12584.99</v>
      </c>
    </row>
    <row r="16" spans="2:29" x14ac:dyDescent="0.3">
      <c r="K16" s="2">
        <v>0.17</v>
      </c>
      <c r="M16" s="3" t="s">
        <v>43</v>
      </c>
      <c r="N16">
        <v>26101.11</v>
      </c>
      <c r="Y16" s="3" t="s">
        <v>88</v>
      </c>
      <c r="Z16">
        <v>28779.13</v>
      </c>
      <c r="AB16" t="s">
        <v>71</v>
      </c>
    </row>
    <row r="17" spans="2:28" x14ac:dyDescent="0.3">
      <c r="K17" s="2">
        <v>0.21</v>
      </c>
      <c r="M17" s="3" t="s">
        <v>44</v>
      </c>
      <c r="N17">
        <v>1789.43</v>
      </c>
      <c r="Y17" s="2" t="s">
        <v>52</v>
      </c>
      <c r="AB17">
        <v>1022</v>
      </c>
    </row>
    <row r="18" spans="2:28" x14ac:dyDescent="0.3">
      <c r="K18" s="2" t="s">
        <v>11</v>
      </c>
      <c r="M18" s="3" t="s">
        <v>45</v>
      </c>
      <c r="N18">
        <v>6752.18</v>
      </c>
      <c r="Y18" s="3" t="s">
        <v>79</v>
      </c>
      <c r="Z18">
        <v>13424.37</v>
      </c>
      <c r="AB18">
        <f>GETPIVOTDATA("[Measures].[Count of Status]",$AB$16)</f>
        <v>1022</v>
      </c>
    </row>
    <row r="19" spans="2:28" x14ac:dyDescent="0.3">
      <c r="M19" s="3" t="s">
        <v>46</v>
      </c>
      <c r="N19">
        <v>177417.60000000001</v>
      </c>
      <c r="Y19" s="3" t="s">
        <v>80</v>
      </c>
      <c r="Z19">
        <v>12602.91</v>
      </c>
    </row>
    <row r="20" spans="2:28" x14ac:dyDescent="0.3">
      <c r="M20" s="2" t="s">
        <v>33</v>
      </c>
      <c r="Y20" s="3" t="s">
        <v>81</v>
      </c>
      <c r="Z20">
        <v>50207.78</v>
      </c>
    </row>
    <row r="21" spans="2:28" x14ac:dyDescent="0.3">
      <c r="M21" s="3" t="s">
        <v>47</v>
      </c>
      <c r="N21">
        <v>97494.62</v>
      </c>
      <c r="Y21" s="3" t="s">
        <v>82</v>
      </c>
      <c r="Z21">
        <v>15943.48</v>
      </c>
    </row>
    <row r="22" spans="2:28" x14ac:dyDescent="0.3">
      <c r="M22" s="3" t="s">
        <v>48</v>
      </c>
      <c r="N22">
        <v>99069.48</v>
      </c>
      <c r="Y22" s="3" t="s">
        <v>83</v>
      </c>
      <c r="Z22">
        <v>18642.71</v>
      </c>
    </row>
    <row r="23" spans="2:28" x14ac:dyDescent="0.3">
      <c r="B23" s="1" t="s">
        <v>12</v>
      </c>
      <c r="C23" t="s">
        <v>13</v>
      </c>
      <c r="M23" s="3" t="s">
        <v>49</v>
      </c>
      <c r="N23">
        <v>318169.68</v>
      </c>
      <c r="Y23" s="2" t="s">
        <v>51</v>
      </c>
    </row>
    <row r="24" spans="2:28" x14ac:dyDescent="0.3">
      <c r="B24" s="2" t="s">
        <v>1</v>
      </c>
      <c r="C24">
        <v>60395.39</v>
      </c>
      <c r="M24" s="3" t="s">
        <v>50</v>
      </c>
      <c r="N24">
        <v>198764.49</v>
      </c>
      <c r="Y24" s="3" t="s">
        <v>74</v>
      </c>
      <c r="Z24">
        <v>21481.14</v>
      </c>
    </row>
    <row r="25" spans="2:28" x14ac:dyDescent="0.3">
      <c r="B25" s="2" t="s">
        <v>2</v>
      </c>
      <c r="C25">
        <v>22958</v>
      </c>
      <c r="M25" s="2" t="s">
        <v>11</v>
      </c>
      <c r="N25">
        <v>1937639.1</v>
      </c>
      <c r="Y25" s="3" t="s">
        <v>75</v>
      </c>
      <c r="Z25">
        <v>20640.349999999999</v>
      </c>
      <c r="AB25" t="s">
        <v>29</v>
      </c>
    </row>
    <row r="26" spans="2:28" x14ac:dyDescent="0.3">
      <c r="B26" s="2" t="s">
        <v>3</v>
      </c>
      <c r="C26">
        <v>29451.26</v>
      </c>
      <c r="Y26" s="3" t="s">
        <v>76</v>
      </c>
      <c r="Z26">
        <v>17390.240000000002</v>
      </c>
      <c r="AB26">
        <v>96.090000000000217</v>
      </c>
    </row>
    <row r="27" spans="2:28" x14ac:dyDescent="0.3">
      <c r="B27" s="2" t="s">
        <v>4</v>
      </c>
      <c r="C27">
        <v>154806.10999999999</v>
      </c>
      <c r="Y27" s="3" t="s">
        <v>77</v>
      </c>
      <c r="Z27">
        <v>29916.01</v>
      </c>
      <c r="AB27">
        <f>GETPIVOTDATA("[Measures].[Sum of Discount]",$AB$25)</f>
        <v>96.090000000000217</v>
      </c>
    </row>
    <row r="28" spans="2:28" x14ac:dyDescent="0.3">
      <c r="B28" s="2" t="s">
        <v>5</v>
      </c>
      <c r="C28">
        <v>20974.45</v>
      </c>
      <c r="Y28" s="3" t="s">
        <v>78</v>
      </c>
      <c r="Z28">
        <v>32194.12</v>
      </c>
    </row>
    <row r="29" spans="2:28" x14ac:dyDescent="0.3">
      <c r="B29" s="2" t="s">
        <v>6</v>
      </c>
      <c r="C29">
        <v>19266.400000000001</v>
      </c>
      <c r="Y29" s="2" t="s">
        <v>11</v>
      </c>
      <c r="Z29">
        <v>429481.91</v>
      </c>
    </row>
    <row r="30" spans="2:28" x14ac:dyDescent="0.3">
      <c r="B30" s="2" t="s">
        <v>7</v>
      </c>
      <c r="C30">
        <v>144717.48000000001</v>
      </c>
    </row>
    <row r="31" spans="2:28" x14ac:dyDescent="0.3">
      <c r="B31" s="2" t="s">
        <v>8</v>
      </c>
      <c r="C31">
        <v>28442.95</v>
      </c>
    </row>
    <row r="32" spans="2:28" x14ac:dyDescent="0.3">
      <c r="B32" s="2" t="s">
        <v>9</v>
      </c>
      <c r="C32">
        <v>38437.769999999997</v>
      </c>
    </row>
    <row r="33" spans="2:6" x14ac:dyDescent="0.3">
      <c r="B33" s="2" t="s">
        <v>10</v>
      </c>
      <c r="C33">
        <v>68946.66</v>
      </c>
    </row>
    <row r="34" spans="2:6" x14ac:dyDescent="0.3">
      <c r="B34" s="2" t="s">
        <v>11</v>
      </c>
      <c r="C34">
        <v>588396.47</v>
      </c>
    </row>
    <row r="37" spans="2:6" x14ac:dyDescent="0.3">
      <c r="E37" s="1" t="s">
        <v>23</v>
      </c>
      <c r="F37" t="s">
        <v>13</v>
      </c>
    </row>
    <row r="38" spans="2:6" x14ac:dyDescent="0.3">
      <c r="E38" s="2" t="s">
        <v>14</v>
      </c>
      <c r="F38">
        <v>288240.87</v>
      </c>
    </row>
    <row r="39" spans="2:6" x14ac:dyDescent="0.3">
      <c r="E39" s="2" t="s">
        <v>15</v>
      </c>
      <c r="F39">
        <v>68946.66</v>
      </c>
    </row>
    <row r="40" spans="2:6" x14ac:dyDescent="0.3">
      <c r="E40" s="2" t="s">
        <v>16</v>
      </c>
      <c r="F40">
        <v>87651.11</v>
      </c>
    </row>
    <row r="41" spans="2:6" x14ac:dyDescent="0.3">
      <c r="E41" s="2" t="s">
        <v>17</v>
      </c>
      <c r="F41">
        <v>98971.25</v>
      </c>
    </row>
    <row r="42" spans="2:6" x14ac:dyDescent="0.3">
      <c r="E42" s="2" t="s">
        <v>18</v>
      </c>
      <c r="F42">
        <v>69855.39</v>
      </c>
    </row>
    <row r="43" spans="2:6" x14ac:dyDescent="0.3">
      <c r="E43" s="2" t="s">
        <v>19</v>
      </c>
      <c r="F43">
        <v>69641.81</v>
      </c>
    </row>
    <row r="44" spans="2:6" x14ac:dyDescent="0.3">
      <c r="E44" s="2" t="s">
        <v>20</v>
      </c>
      <c r="F44">
        <v>223532.15</v>
      </c>
    </row>
    <row r="45" spans="2:6" x14ac:dyDescent="0.3">
      <c r="E45" s="2" t="s">
        <v>21</v>
      </c>
      <c r="F45">
        <v>69452.820000000007</v>
      </c>
    </row>
    <row r="46" spans="2:6" x14ac:dyDescent="0.3">
      <c r="E46" s="2" t="s">
        <v>22</v>
      </c>
      <c r="F46">
        <v>93082.73</v>
      </c>
    </row>
    <row r="47" spans="2:6" x14ac:dyDescent="0.3">
      <c r="E47" s="2" t="s">
        <v>10</v>
      </c>
      <c r="F47">
        <v>83468.06</v>
      </c>
    </row>
    <row r="48" spans="2:6" x14ac:dyDescent="0.3">
      <c r="E48" s="2" t="s">
        <v>11</v>
      </c>
      <c r="F48">
        <v>1152842.8500000001</v>
      </c>
    </row>
  </sheetData>
  <mergeCells count="1">
    <mergeCell ref="K1:K3"/>
  </mergeCell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4228-2C4C-476B-A729-C65426F672DB}">
  <dimension ref="A1"/>
  <sheetViews>
    <sheetView showGridLines="0" showRowColHeaders="0" rightToLeft="1" tabSelected="1" workbookViewId="0">
      <selection activeCell="M10" sqref="M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1C5A51A-BCCE-45EA-B551-D66299CCD983}">
  <ds:schemaRefs/>
</ds:datastoreItem>
</file>

<file path=customXml/itemProps2.xml><?xml version="1.0" encoding="utf-8"?>
<ds:datastoreItem xmlns:ds="http://schemas.openxmlformats.org/officeDocument/2006/customXml" ds:itemID="{A6F5F60D-2598-4EF0-A229-D881365878A0}">
  <ds:schemaRefs/>
</ds:datastoreItem>
</file>

<file path=customXml/itemProps3.xml><?xml version="1.0" encoding="utf-8"?>
<ds:datastoreItem xmlns:ds="http://schemas.openxmlformats.org/officeDocument/2006/customXml" ds:itemID="{89A2901A-5471-4A9E-B266-42860FA8532A}">
  <ds:schemaRefs/>
</ds:datastoreItem>
</file>

<file path=customXml/itemProps4.xml><?xml version="1.0" encoding="utf-8"?>
<ds:datastoreItem xmlns:ds="http://schemas.openxmlformats.org/officeDocument/2006/customXml" ds:itemID="{074272DD-8C8B-408A-B4C3-20EA6C6561C6}">
  <ds:schemaRefs/>
</ds:datastoreItem>
</file>

<file path=customXml/itemProps5.xml><?xml version="1.0" encoding="utf-8"?>
<ds:datastoreItem xmlns:ds="http://schemas.openxmlformats.org/officeDocument/2006/customXml" ds:itemID="{4B86188D-5A14-46DC-AE09-66E0CC97A1CA}">
  <ds:schemaRefs/>
</ds:datastoreItem>
</file>

<file path=customXml/itemProps6.xml><?xml version="1.0" encoding="utf-8"?>
<ds:datastoreItem xmlns:ds="http://schemas.openxmlformats.org/officeDocument/2006/customXml" ds:itemID="{6015D6FE-941A-411E-9440-A8C379903F94}">
  <ds:schemaRefs/>
</ds:datastoreItem>
</file>

<file path=customXml/itemProps7.xml><?xml version="1.0" encoding="utf-8"?>
<ds:datastoreItem xmlns:ds="http://schemas.openxmlformats.org/officeDocument/2006/customXml" ds:itemID="{D8516B2C-3C9E-4F02-986C-62CAB61C28EF}">
  <ds:schemaRefs/>
</ds:datastoreItem>
</file>

<file path=customXml/itemProps8.xml><?xml version="1.0" encoding="utf-8"?>
<ds:datastoreItem xmlns:ds="http://schemas.openxmlformats.org/officeDocument/2006/customXml" ds:itemID="{326F0B49-714D-45CC-B981-7D59E7FF95DC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206277E4-042E-4B75-BA3B-32146334630C}">
  <ds:schemaRefs/>
</ds:datastoreItem>
</file>

<file path=customXml/itemProps10.xml><?xml version="1.0" encoding="utf-8"?>
<ds:datastoreItem xmlns:ds="http://schemas.openxmlformats.org/officeDocument/2006/customXml" ds:itemID="{B1C56C3E-09D9-416A-BADC-23D034A424C3}">
  <ds:schemaRefs/>
</ds:datastoreItem>
</file>

<file path=customXml/itemProps11.xml><?xml version="1.0" encoding="utf-8"?>
<ds:datastoreItem xmlns:ds="http://schemas.openxmlformats.org/officeDocument/2006/customXml" ds:itemID="{2E2BA896-78DB-4380-A3AB-1C12E2A6D898}">
  <ds:schemaRefs/>
</ds:datastoreItem>
</file>

<file path=customXml/itemProps12.xml><?xml version="1.0" encoding="utf-8"?>
<ds:datastoreItem xmlns:ds="http://schemas.openxmlformats.org/officeDocument/2006/customXml" ds:itemID="{4C5A413E-974B-4A3A-86A0-F38B995F2B0E}">
  <ds:schemaRefs/>
</ds:datastoreItem>
</file>

<file path=customXml/itemProps13.xml><?xml version="1.0" encoding="utf-8"?>
<ds:datastoreItem xmlns:ds="http://schemas.openxmlformats.org/officeDocument/2006/customXml" ds:itemID="{DA355227-B5C3-41A4-A046-74138D2682FA}">
  <ds:schemaRefs/>
</ds:datastoreItem>
</file>

<file path=customXml/itemProps14.xml><?xml version="1.0" encoding="utf-8"?>
<ds:datastoreItem xmlns:ds="http://schemas.openxmlformats.org/officeDocument/2006/customXml" ds:itemID="{5A293CB7-3395-461B-8066-EDA8BAD22A95}">
  <ds:schemaRefs/>
</ds:datastoreItem>
</file>

<file path=customXml/itemProps15.xml><?xml version="1.0" encoding="utf-8"?>
<ds:datastoreItem xmlns:ds="http://schemas.openxmlformats.org/officeDocument/2006/customXml" ds:itemID="{6FFD0A6F-1D93-4390-B41A-8F605AC45FEE}">
  <ds:schemaRefs/>
</ds:datastoreItem>
</file>

<file path=customXml/itemProps16.xml><?xml version="1.0" encoding="utf-8"?>
<ds:datastoreItem xmlns:ds="http://schemas.openxmlformats.org/officeDocument/2006/customXml" ds:itemID="{29C6C3C4-7C37-40E7-9228-E116E25E03FD}">
  <ds:schemaRefs/>
</ds:datastoreItem>
</file>

<file path=customXml/itemProps17.xml><?xml version="1.0" encoding="utf-8"?>
<ds:datastoreItem xmlns:ds="http://schemas.openxmlformats.org/officeDocument/2006/customXml" ds:itemID="{487AF657-A3C9-469D-88EE-33D57EC2CA5E}">
  <ds:schemaRefs/>
</ds:datastoreItem>
</file>

<file path=customXml/itemProps18.xml><?xml version="1.0" encoding="utf-8"?>
<ds:datastoreItem xmlns:ds="http://schemas.openxmlformats.org/officeDocument/2006/customXml" ds:itemID="{D39AE984-646E-43C6-A2B8-75337DA738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</dc:creator>
  <cp:lastModifiedBy>Maher</cp:lastModifiedBy>
  <dcterms:created xsi:type="dcterms:W3CDTF">2015-06-05T18:17:20Z</dcterms:created>
  <dcterms:modified xsi:type="dcterms:W3CDTF">2025-05-09T18:02:46Z</dcterms:modified>
</cp:coreProperties>
</file>